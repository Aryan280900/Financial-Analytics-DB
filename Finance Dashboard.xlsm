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6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7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8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9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0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p\OneDrive\Desktop\"/>
    </mc:Choice>
  </mc:AlternateContent>
  <xr:revisionPtr revIDLastSave="11" documentId="8_{D7688DDE-D294-4B5B-8B47-A92ECC7AF617}" xr6:coauthVersionLast="41" xr6:coauthVersionMax="41" xr10:uidLastSave="{0CFF8BB3-5DE6-429B-9CA6-4F6B6190A9BC}"/>
  <bookViews>
    <workbookView xWindow="-120" yWindow="-120" windowWidth="20730" windowHeight="11040" xr2:uid="{C3EEF37A-781E-41C4-957B-C41EC36A7C38}"/>
  </bookViews>
  <sheets>
    <sheet name="Ashok_Leyland" sheetId="8" r:id="rId1"/>
    <sheet name="Bajaj_Auto" sheetId="11" r:id="rId2"/>
    <sheet name="Eicher_Motors" sheetId="12" r:id="rId3"/>
    <sheet name="Hero_Motocorp" sheetId="13" r:id="rId4"/>
    <sheet name="Maruti_Suzuki" sheetId="14" r:id="rId5"/>
    <sheet name="Tata_Motors" sheetId="15" r:id="rId6"/>
    <sheet name="TVS_Motors" sheetId="16" r:id="rId7"/>
    <sheet name="Paytm Nifty_Auto" sheetId="17" r:id="rId8"/>
    <sheet name="Ashok Leyland" sheetId="9" state="hidden" r:id="rId9"/>
    <sheet name="NiftyAuto" sheetId="10" state="hidden" r:id="rId10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J8" i="9" l="1"/>
  <c r="BJ7" i="9"/>
  <c r="BJ6" i="9"/>
  <c r="BJ5" i="9"/>
  <c r="BC8" i="9"/>
  <c r="BC7" i="9"/>
  <c r="W6" i="9"/>
  <c r="BC6" i="9"/>
  <c r="BC5" i="9"/>
  <c r="AV5" i="9"/>
  <c r="AV8" i="9"/>
  <c r="AV7" i="9"/>
  <c r="AV6" i="9"/>
  <c r="AO7" i="9"/>
  <c r="AO8" i="9"/>
  <c r="AO6" i="9"/>
  <c r="AO5" i="9"/>
  <c r="AI5" i="9"/>
  <c r="AI8" i="9"/>
  <c r="AI7" i="9"/>
  <c r="AI6" i="9"/>
  <c r="AC6" i="9"/>
  <c r="AC7" i="9"/>
  <c r="AC8" i="9"/>
  <c r="AC5" i="9"/>
  <c r="W5" i="9"/>
  <c r="W7" i="9"/>
  <c r="W4" i="9"/>
</calcChain>
</file>

<file path=xl/sharedStrings.xml><?xml version="1.0" encoding="utf-8"?>
<sst xmlns="http://schemas.openxmlformats.org/spreadsheetml/2006/main" count="180" uniqueCount="112">
  <si>
    <t>Date_</t>
  </si>
  <si>
    <t>24-02-2024</t>
  </si>
  <si>
    <t>25-02-2024</t>
  </si>
  <si>
    <t>26-02-2024</t>
  </si>
  <si>
    <t>27-02-2024</t>
  </si>
  <si>
    <t>28-02-2024</t>
  </si>
  <si>
    <t>29-02-2024</t>
  </si>
  <si>
    <t>01-03-2024</t>
  </si>
  <si>
    <t>02-03-2024</t>
  </si>
  <si>
    <t>03-03-2024</t>
  </si>
  <si>
    <t>04-03-2024</t>
  </si>
  <si>
    <t>05-03-2024</t>
  </si>
  <si>
    <t>06-03-2024</t>
  </si>
  <si>
    <t>07-03-2024</t>
  </si>
  <si>
    <t>08-03-2024</t>
  </si>
  <si>
    <t>09-03-2024</t>
  </si>
  <si>
    <t>10-03-2024</t>
  </si>
  <si>
    <t>11-03-2024</t>
  </si>
  <si>
    <t>12-03-2024</t>
  </si>
  <si>
    <t>13-03-2024</t>
  </si>
  <si>
    <t>14-03-2024</t>
  </si>
  <si>
    <t>15-03-2024</t>
  </si>
  <si>
    <t>16-03-2024</t>
  </si>
  <si>
    <t>17-03-2024</t>
  </si>
  <si>
    <t>18-03-2024</t>
  </si>
  <si>
    <t>19-03-2024</t>
  </si>
  <si>
    <t>20-03-2024</t>
  </si>
  <si>
    <t>21-03-2024</t>
  </si>
  <si>
    <t>22-03-2024</t>
  </si>
  <si>
    <t>23-03-2024</t>
  </si>
  <si>
    <t>24-03-2024</t>
  </si>
  <si>
    <t>Predicted_Close</t>
  </si>
  <si>
    <t>Date</t>
  </si>
  <si>
    <t>Close</t>
  </si>
  <si>
    <t>24/02/24</t>
  </si>
  <si>
    <t>25/02/24</t>
  </si>
  <si>
    <t>26/02/24</t>
  </si>
  <si>
    <t>27/02/24</t>
  </si>
  <si>
    <t>28/02/24</t>
  </si>
  <si>
    <t>29/02/24</t>
  </si>
  <si>
    <t>13/03/24</t>
  </si>
  <si>
    <t>14/03/24</t>
  </si>
  <si>
    <t>15/03/24</t>
  </si>
  <si>
    <t>16/03/24</t>
  </si>
  <si>
    <t>17/03/24</t>
  </si>
  <si>
    <t>18/03/24</t>
  </si>
  <si>
    <t>19/03/24</t>
  </si>
  <si>
    <t>20/03/24</t>
  </si>
  <si>
    <t>21/03/24</t>
  </si>
  <si>
    <t>22/03/24</t>
  </si>
  <si>
    <t>23/03/24</t>
  </si>
  <si>
    <t>24/03/24</t>
  </si>
  <si>
    <t>25/03/24</t>
  </si>
  <si>
    <t>26/03/24</t>
  </si>
  <si>
    <t>27/03/24</t>
  </si>
  <si>
    <t>28/03/24</t>
  </si>
  <si>
    <t>29/03/24</t>
  </si>
  <si>
    <t>30/03/24</t>
  </si>
  <si>
    <t>31/03/24</t>
  </si>
  <si>
    <t>13/04/24</t>
  </si>
  <si>
    <t>14/04/24</t>
  </si>
  <si>
    <t>15/04/24</t>
  </si>
  <si>
    <t>16/04/24</t>
  </si>
  <si>
    <t>17/04/24</t>
  </si>
  <si>
    <t>18/04/24</t>
  </si>
  <si>
    <t>19/04/24</t>
  </si>
  <si>
    <t>20/04/24</t>
  </si>
  <si>
    <t>21/04/24</t>
  </si>
  <si>
    <t>22/04/24</t>
  </si>
  <si>
    <t>23/04/24</t>
  </si>
  <si>
    <t>24/04/24</t>
  </si>
  <si>
    <t>25/04/24</t>
  </si>
  <si>
    <t>26/04/24</t>
  </si>
  <si>
    <t>27/04/24</t>
  </si>
  <si>
    <t>28/04/24</t>
  </si>
  <si>
    <t>29/04/24</t>
  </si>
  <si>
    <t>30/04/24</t>
  </si>
  <si>
    <t>13/05/24</t>
  </si>
  <si>
    <t>14/05/24</t>
  </si>
  <si>
    <t>15/05/24</t>
  </si>
  <si>
    <t>16/05/24</t>
  </si>
  <si>
    <t>17/05/24</t>
  </si>
  <si>
    <t>18/05/24</t>
  </si>
  <si>
    <t>19/05/24</t>
  </si>
  <si>
    <t>20/05/24</t>
  </si>
  <si>
    <t>21/05/24</t>
  </si>
  <si>
    <t>22/05/24</t>
  </si>
  <si>
    <t>23/05/24</t>
  </si>
  <si>
    <t>Particulars</t>
  </si>
  <si>
    <t>Total Expenses</t>
  </si>
  <si>
    <t>Total Tax Expenses</t>
  </si>
  <si>
    <t>Profit/Loss for the Period</t>
  </si>
  <si>
    <t>Amount (in Cr.)</t>
  </si>
  <si>
    <t>Total Operating Revenue</t>
  </si>
  <si>
    <t>Proportion</t>
  </si>
  <si>
    <t>COMMON SIZE STATEMENT 2023 (Excerpt)</t>
  </si>
  <si>
    <t>COMPARATIVE STATEMENT</t>
  </si>
  <si>
    <t>PARTICULARS</t>
  </si>
  <si>
    <t>Total Shareholder's Funds</t>
  </si>
  <si>
    <t>Fixed Assets</t>
  </si>
  <si>
    <t>Cash and Cash Equivalents</t>
  </si>
  <si>
    <t>Total Debt</t>
  </si>
  <si>
    <t>CHANGE</t>
  </si>
  <si>
    <t>COMPARATIVE STATEMENT (EXCERPT)</t>
  </si>
  <si>
    <t>25-03-2024</t>
  </si>
  <si>
    <t>26-03-2024</t>
  </si>
  <si>
    <t>27-03-2024</t>
  </si>
  <si>
    <t>eicher</t>
  </si>
  <si>
    <t>hero</t>
  </si>
  <si>
    <t>ms</t>
  </si>
  <si>
    <t>tm</t>
  </si>
  <si>
    <t>tvs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</si>
</sst>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_([$INR]\ * #,##0.00_);_([$INR]\ * \(#,##0.00\);_([$INR]\ * &quot;-&quot;??_);_(@_)"/>
  </numFmts>
  <fonts count="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</fills>
  <borders count="2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50">
    <xf numFmtId="0" fontId="0" fillId="0" borderId="0" xfId="0"/>
    <xf numFmtId="0" fontId="1" fillId="0" borderId="0" xfId="0" applyFont="1"/>
    <xf numFmtId="164" fontId="2" fillId="0" borderId="0" xfId="0" applyNumberFormat="1" applyFont="1" applyBorder="1" applyAlignment="1">
      <alignment horizontal="center" vertical="top"/>
    </xf>
    <xf numFmtId="0" fontId="2" fillId="0" borderId="1" xfId="0" applyFont="1" applyBorder="1" applyAlignment="1">
      <alignment horizontal="center" vertical="top"/>
    </xf>
    <xf numFmtId="14" fontId="0" fillId="0" borderId="0" xfId="0" applyNumberFormat="1"/>
    <xf numFmtId="0" fontId="0" fillId="0" borderId="0" xfId="0" applyAlignment="1"/>
    <xf numFmtId="0" fontId="4" fillId="2" borderId="2" xfId="0" applyFont="1" applyFill="1" applyBorder="1" applyAlignment="1">
      <alignment horizontal="center"/>
    </xf>
    <xf numFmtId="0" fontId="4" fillId="2" borderId="15" xfId="0" applyFont="1" applyFill="1" applyBorder="1" applyAlignment="1">
      <alignment horizontal="center"/>
    </xf>
    <xf numFmtId="0" fontId="0" fillId="3" borderId="0" xfId="0" applyFill="1"/>
    <xf numFmtId="165" fontId="0" fillId="4" borderId="3" xfId="0" applyNumberFormat="1" applyFill="1" applyBorder="1" applyAlignment="1">
      <alignment horizontal="center"/>
    </xf>
    <xf numFmtId="9" fontId="0" fillId="4" borderId="8" xfId="1" applyFont="1" applyFill="1" applyBorder="1" applyAlignment="1">
      <alignment horizontal="center"/>
    </xf>
    <xf numFmtId="165" fontId="0" fillId="4" borderId="1" xfId="0" applyNumberFormat="1" applyFill="1" applyBorder="1" applyAlignment="1">
      <alignment horizontal="center"/>
    </xf>
    <xf numFmtId="9" fontId="0" fillId="4" borderId="10" xfId="1" applyFont="1" applyFill="1" applyBorder="1" applyAlignment="1">
      <alignment horizontal="center"/>
    </xf>
    <xf numFmtId="165" fontId="0" fillId="4" borderId="12" xfId="0" applyNumberFormat="1" applyFill="1" applyBorder="1" applyAlignment="1">
      <alignment horizontal="center"/>
    </xf>
    <xf numFmtId="9" fontId="0" fillId="4" borderId="13" xfId="1" applyFont="1" applyFill="1" applyBorder="1" applyAlignment="1">
      <alignment horizontal="center"/>
    </xf>
    <xf numFmtId="0" fontId="4" fillId="2" borderId="19" xfId="0" applyFont="1" applyFill="1" applyBorder="1" applyAlignment="1">
      <alignment horizontal="center"/>
    </xf>
    <xf numFmtId="0" fontId="0" fillId="4" borderId="23" xfId="0" applyFill="1" applyBorder="1"/>
    <xf numFmtId="0" fontId="0" fillId="4" borderId="24" xfId="0" applyFill="1" applyBorder="1"/>
    <xf numFmtId="10" fontId="0" fillId="4" borderId="28" xfId="1" applyNumberFormat="1" applyFont="1" applyFill="1" applyBorder="1"/>
    <xf numFmtId="0" fontId="0" fillId="4" borderId="9" xfId="0" applyFill="1" applyBorder="1"/>
    <xf numFmtId="0" fontId="0" fillId="4" borderId="10" xfId="0" applyFill="1" applyBorder="1"/>
    <xf numFmtId="0" fontId="0" fillId="4" borderId="11" xfId="0" applyFill="1" applyBorder="1"/>
    <xf numFmtId="0" fontId="0" fillId="4" borderId="13" xfId="0" applyFill="1" applyBorder="1"/>
    <xf numFmtId="10" fontId="0" fillId="4" borderId="2" xfId="1" applyNumberFormat="1" applyFont="1" applyFill="1" applyBorder="1"/>
    <xf numFmtId="0" fontId="0" fillId="4" borderId="9" xfId="0" applyFill="1" applyBorder="1" applyAlignment="1">
      <alignment horizontal="center"/>
    </xf>
    <xf numFmtId="0" fontId="0" fillId="4" borderId="26" xfId="0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27" xfId="0" applyFill="1" applyBorder="1" applyAlignment="1">
      <alignment horizontal="center"/>
    </xf>
    <xf numFmtId="0" fontId="4" fillId="2" borderId="16" xfId="0" applyFont="1" applyFill="1" applyBorder="1" applyAlignment="1">
      <alignment horizontal="center"/>
    </xf>
    <xf numFmtId="0" fontId="4" fillId="2" borderId="17" xfId="0" applyFont="1" applyFill="1" applyBorder="1" applyAlignment="1">
      <alignment horizontal="center"/>
    </xf>
    <xf numFmtId="0" fontId="4" fillId="2" borderId="15" xfId="0" applyFont="1" applyFill="1" applyBorder="1" applyAlignment="1">
      <alignment horizontal="center"/>
    </xf>
    <xf numFmtId="0" fontId="4" fillId="2" borderId="18" xfId="0" applyFont="1" applyFill="1" applyBorder="1" applyAlignment="1">
      <alignment horizontal="center" vertical="center"/>
    </xf>
    <xf numFmtId="0" fontId="4" fillId="2" borderId="19" xfId="0" applyFont="1" applyFill="1" applyBorder="1" applyAlignment="1">
      <alignment horizontal="center" vertical="center"/>
    </xf>
    <xf numFmtId="0" fontId="4" fillId="2" borderId="21" xfId="0" applyFont="1" applyFill="1" applyBorder="1" applyAlignment="1">
      <alignment horizontal="center" vertical="center"/>
    </xf>
    <xf numFmtId="0" fontId="4" fillId="2" borderId="22" xfId="0" applyFont="1" applyFill="1" applyBorder="1" applyAlignment="1">
      <alignment horizontal="center" vertical="center"/>
    </xf>
    <xf numFmtId="0" fontId="4" fillId="2" borderId="20" xfId="0" applyFont="1" applyFill="1" applyBorder="1" applyAlignment="1">
      <alignment horizontal="center" vertical="center"/>
    </xf>
    <xf numFmtId="0" fontId="0" fillId="4" borderId="23" xfId="0" applyFill="1" applyBorder="1" applyAlignment="1">
      <alignment horizontal="center"/>
    </xf>
    <xf numFmtId="0" fontId="0" fillId="4" borderId="25" xfId="0" applyFill="1" applyBorder="1" applyAlignment="1">
      <alignment horizontal="center"/>
    </xf>
    <xf numFmtId="0" fontId="0" fillId="0" borderId="0" xfId="0" applyAlignment="1">
      <alignment horizontal="center"/>
    </xf>
    <xf numFmtId="0" fontId="4" fillId="2" borderId="4" xfId="0" applyFont="1" applyFill="1" applyBorder="1" applyAlignment="1">
      <alignment horizontal="center"/>
    </xf>
    <xf numFmtId="0" fontId="4" fillId="2" borderId="5" xfId="0" applyFont="1" applyFill="1" applyBorder="1" applyAlignment="1">
      <alignment horizontal="center"/>
    </xf>
    <xf numFmtId="0" fontId="4" fillId="2" borderId="14" xfId="0" applyFont="1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4" fillId="2" borderId="6" xfId="0" applyFont="1" applyFill="1" applyBorder="1" applyAlignment="1">
      <alignment horizontal="center"/>
    </xf>
    <xf numFmtId="0" fontId="0" fillId="0" borderId="0" xfId="0"/>
    <xf numFmtId="0" fontId="0" fillId="0" borderId="0" xfId="0"/>
    <xf numFmtId="0" fontId="0" fillId="0" borderId="0" xfId="0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Stock</a:t>
            </a:r>
            <a:r>
              <a:rPr lang="en-US" baseline="0"/>
              <a:t> Price Prediction (Next 30 days)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'Ashok Leyland'!$B$2:$B$31</c:f>
              <c:numCache>
                <c:formatCode>General</c:formatCode>
                <c:ptCount val="30"/>
                <c:pt idx="0">
                  <c:v>173.9494173598541</c:v>
                </c:pt>
                <c:pt idx="1">
                  <c:v>174.00657416068779</c:v>
                </c:pt>
                <c:pt idx="2">
                  <c:v>173.84041243965549</c:v>
                </c:pt>
                <c:pt idx="3">
                  <c:v>173.8637982276606</c:v>
                </c:pt>
                <c:pt idx="4">
                  <c:v>173.9057098899161</c:v>
                </c:pt>
                <c:pt idx="5">
                  <c:v>173.90634822696151</c:v>
                </c:pt>
                <c:pt idx="6">
                  <c:v>173.91532702860661</c:v>
                </c:pt>
                <c:pt idx="7">
                  <c:v>173.90664124492989</c:v>
                </c:pt>
                <c:pt idx="8">
                  <c:v>173.90556567816591</c:v>
                </c:pt>
                <c:pt idx="9">
                  <c:v>173.90698807148561</c:v>
                </c:pt>
                <c:pt idx="10">
                  <c:v>173.90687777721271</c:v>
                </c:pt>
                <c:pt idx="11">
                  <c:v>173.90764777827511</c:v>
                </c:pt>
                <c:pt idx="12">
                  <c:v>173.90732029577549</c:v>
                </c:pt>
                <c:pt idx="13">
                  <c:v>173.9072104447707</c:v>
                </c:pt>
                <c:pt idx="14">
                  <c:v>173.90725085183939</c:v>
                </c:pt>
                <c:pt idx="15">
                  <c:v>173.90722212629751</c:v>
                </c:pt>
                <c:pt idx="16">
                  <c:v>173.9072700082742</c:v>
                </c:pt>
                <c:pt idx="17">
                  <c:v>173.90726142353211</c:v>
                </c:pt>
                <c:pt idx="18">
                  <c:v>173.90725575464569</c:v>
                </c:pt>
                <c:pt idx="19">
                  <c:v>173.90725728988161</c:v>
                </c:pt>
                <c:pt idx="20">
                  <c:v>173.9072542869653</c:v>
                </c:pt>
                <c:pt idx="21">
                  <c:v>173.90725669493449</c:v>
                </c:pt>
                <c:pt idx="22">
                  <c:v>173.9072566033995</c:v>
                </c:pt>
                <c:pt idx="23">
                  <c:v>173.90725638172509</c:v>
                </c:pt>
                <c:pt idx="24">
                  <c:v>173.90725650801511</c:v>
                </c:pt>
                <c:pt idx="25">
                  <c:v>173.9072562857545</c:v>
                </c:pt>
                <c:pt idx="26">
                  <c:v>173.9072563888686</c:v>
                </c:pt>
                <c:pt idx="27">
                  <c:v>173.90725639369609</c:v>
                </c:pt>
                <c:pt idx="28">
                  <c:v>173.9072563850373</c:v>
                </c:pt>
                <c:pt idx="29">
                  <c:v>173.9072563970137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58-4A83-938B-8F001DD809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7434944"/>
        <c:axId val="767435600"/>
      </c:lineChart>
      <c:catAx>
        <c:axId val="76743494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767435600"/>
        <c:crosses val="autoZero"/>
        <c:auto val="1"/>
        <c:lblAlgn val="ctr"/>
        <c:lblOffset val="100"/>
        <c:noMultiLvlLbl val="0"/>
      </c:catAx>
      <c:valAx>
        <c:axId val="767435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7434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Comparative Statement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081714785651792"/>
          <c:y val="0.17171296296296298"/>
          <c:w val="0.81862729658792655"/>
          <c:h val="0.57185950714494027"/>
        </c:manualLayout>
      </c:layout>
      <c:barChart>
        <c:barDir val="col"/>
        <c:grouping val="clustered"/>
        <c:varyColors val="0"/>
        <c:ser>
          <c:idx val="1"/>
          <c:order val="1"/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'Ashok Leyland'!$Y$5:$Y$8</c:f>
              <c:strCache>
                <c:ptCount val="4"/>
                <c:pt idx="0">
                  <c:v>Total Shareholder's Funds</c:v>
                </c:pt>
                <c:pt idx="1">
                  <c:v>Total Debt</c:v>
                </c:pt>
                <c:pt idx="2">
                  <c:v>Fixed Assets</c:v>
                </c:pt>
                <c:pt idx="3">
                  <c:v>Cash and Cash Equivalents</c:v>
                </c:pt>
              </c:strCache>
            </c:strRef>
          </c:cat>
          <c:val>
            <c:numRef>
              <c:f>'Ashok Leyland'!$AA$5:$AA$8</c:f>
              <c:numCache>
                <c:formatCode>General</c:formatCode>
                <c:ptCount val="4"/>
                <c:pt idx="0">
                  <c:v>26668.799999999999</c:v>
                </c:pt>
                <c:pt idx="1">
                  <c:v>563.70000000000005</c:v>
                </c:pt>
                <c:pt idx="2">
                  <c:v>1910.84</c:v>
                </c:pt>
                <c:pt idx="3">
                  <c:v>588.34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35-4259-8361-6A7694219587}"/>
            </c:ext>
          </c:extLst>
        </c:ser>
        <c:ser>
          <c:idx val="2"/>
          <c:order val="2"/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'Ashok Leyland'!$Y$5:$Y$8</c:f>
              <c:strCache>
                <c:ptCount val="4"/>
                <c:pt idx="0">
                  <c:v>Total Shareholder's Funds</c:v>
                </c:pt>
                <c:pt idx="1">
                  <c:v>Total Debt</c:v>
                </c:pt>
                <c:pt idx="2">
                  <c:v>Fixed Assets</c:v>
                </c:pt>
                <c:pt idx="3">
                  <c:v>Cash and Cash Equivalents</c:v>
                </c:pt>
              </c:strCache>
            </c:strRef>
          </c:cat>
          <c:val>
            <c:numRef>
              <c:f>'Ashok Leyland'!$AB$5:$AB$8</c:f>
              <c:numCache>
                <c:formatCode>General</c:formatCode>
                <c:ptCount val="4"/>
                <c:pt idx="0">
                  <c:v>25425.86</c:v>
                </c:pt>
                <c:pt idx="1">
                  <c:v>503.79</c:v>
                </c:pt>
                <c:pt idx="2">
                  <c:v>2797.92</c:v>
                </c:pt>
                <c:pt idx="3">
                  <c:v>285.75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35-4259-8361-6A769421958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749324816"/>
        <c:axId val="74932514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'Ashok Leyland'!$Y$5:$Y$8</c15:sqref>
                        </c15:formulaRef>
                      </c:ext>
                    </c:extLst>
                    <c:strCache>
                      <c:ptCount val="4"/>
                      <c:pt idx="0">
                        <c:v>Total Shareholder's Funds</c:v>
                      </c:pt>
                      <c:pt idx="1">
                        <c:v>Total Debt</c:v>
                      </c:pt>
                      <c:pt idx="2">
                        <c:v>Fixed Assets</c:v>
                      </c:pt>
                      <c:pt idx="3">
                        <c:v>Cash and Cash Equivalents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'Ashok Leyland'!$Z$5:$Z$8</c15:sqref>
                        </c15:formulaRef>
                      </c:ext>
                    </c:extLst>
                    <c:numCache>
                      <c:formatCode>General</c:formatCode>
                      <c:ptCount val="4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0035-4259-8361-6A7694219587}"/>
                  </c:ext>
                </c:extLst>
              </c15:ser>
            </c15:filteredBarSeries>
          </c:ext>
        </c:extLst>
      </c:barChart>
      <c:catAx>
        <c:axId val="7493248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Particulars (2022-2023)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9325144"/>
        <c:crosses val="autoZero"/>
        <c:auto val="1"/>
        <c:lblAlgn val="ctr"/>
        <c:lblOffset val="100"/>
        <c:noMultiLvlLbl val="0"/>
      </c:catAx>
      <c:valAx>
        <c:axId val="74932514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Amount</a:t>
                </a:r>
                <a:r>
                  <a:rPr lang="en-US" baseline="0"/>
                  <a:t> (in Cr.)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2.2222222222222223E-2"/>
              <c:y val="0.2993554972295130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9324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28575" cap="flat" cmpd="sng" algn="ctr">
      <a:solidFill>
        <a:schemeClr val="accent5">
          <a:lumMod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Stock</a:t>
            </a:r>
            <a:r>
              <a:rPr lang="en-US" baseline="0"/>
              <a:t> Price Prediction (next 30 days)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'Ashok Leyland'!$E$2:$E$31</c:f>
              <c:numCache>
                <c:formatCode>General</c:formatCode>
                <c:ptCount val="30"/>
                <c:pt idx="0">
                  <c:v>8448.683167510575</c:v>
                </c:pt>
                <c:pt idx="1">
                  <c:v>8446.6368294656295</c:v>
                </c:pt>
                <c:pt idx="2">
                  <c:v>8451.4921205964292</c:v>
                </c:pt>
                <c:pt idx="3">
                  <c:v>8450.3939300562815</c:v>
                </c:pt>
                <c:pt idx="4">
                  <c:v>8450.5289273344497</c:v>
                </c:pt>
                <c:pt idx="5">
                  <c:v>8450.6225236706541</c:v>
                </c:pt>
                <c:pt idx="6">
                  <c:v>8450.5695044608128</c:v>
                </c:pt>
                <c:pt idx="7">
                  <c:v>8450.6565415379464</c:v>
                </c:pt>
                <c:pt idx="8">
                  <c:v>8450.6382894826384</c:v>
                </c:pt>
                <c:pt idx="9">
                  <c:v>8450.639364178287</c:v>
                </c:pt>
                <c:pt idx="10">
                  <c:v>8450.6424715196226</c:v>
                </c:pt>
                <c:pt idx="11">
                  <c:v>8450.6412526275708</c:v>
                </c:pt>
                <c:pt idx="12">
                  <c:v>8450.6427837672891</c:v>
                </c:pt>
                <c:pt idx="13">
                  <c:v>8450.6425057858069</c:v>
                </c:pt>
                <c:pt idx="14">
                  <c:v>8450.642497533152</c:v>
                </c:pt>
                <c:pt idx="15">
                  <c:v>8450.6425777588775</c:v>
                </c:pt>
                <c:pt idx="16">
                  <c:v>8450.6425519143013</c:v>
                </c:pt>
                <c:pt idx="17">
                  <c:v>8450.6425782848564</c:v>
                </c:pt>
                <c:pt idx="18">
                  <c:v>8450.6425745785509</c:v>
                </c:pt>
                <c:pt idx="19">
                  <c:v>8450.6425738902853</c:v>
                </c:pt>
                <c:pt idx="20">
                  <c:v>8450.6425757376237</c:v>
                </c:pt>
                <c:pt idx="21">
                  <c:v>8450.6425752236701</c:v>
                </c:pt>
                <c:pt idx="22">
                  <c:v>8450.6425756667759</c:v>
                </c:pt>
                <c:pt idx="23">
                  <c:v>8450.6425756296285</c:v>
                </c:pt>
                <c:pt idx="24">
                  <c:v>8450.6425756071094</c:v>
                </c:pt>
                <c:pt idx="25">
                  <c:v>8450.642575646827</c:v>
                </c:pt>
                <c:pt idx="26">
                  <c:v>8450.6425756371809</c:v>
                </c:pt>
                <c:pt idx="27">
                  <c:v>8450.6425756444078</c:v>
                </c:pt>
                <c:pt idx="28">
                  <c:v>8450.6425756443659</c:v>
                </c:pt>
                <c:pt idx="29">
                  <c:v>8450.6425756437784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C0-4366-9431-E215762714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7434944"/>
        <c:axId val="767435600"/>
      </c:lineChart>
      <c:catAx>
        <c:axId val="76743494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767435600"/>
        <c:crosses val="autoZero"/>
        <c:auto val="1"/>
        <c:lblAlgn val="ctr"/>
        <c:lblOffset val="100"/>
        <c:noMultiLvlLbl val="0"/>
      </c:catAx>
      <c:valAx>
        <c:axId val="767435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7434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Comparative Statement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081714785651792"/>
          <c:y val="0.17171296296296298"/>
          <c:w val="0.81862729658792655"/>
          <c:h val="0.57185950714494027"/>
        </c:manualLayout>
      </c:layout>
      <c:barChart>
        <c:barDir val="col"/>
        <c:grouping val="clustered"/>
        <c:varyColors val="0"/>
        <c:ser>
          <c:idx val="1"/>
          <c:order val="1"/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'Ashok Leyland'!$Y$5:$Y$8</c:f>
              <c:strCache>
                <c:ptCount val="4"/>
                <c:pt idx="0">
                  <c:v>Total Shareholder's Funds</c:v>
                </c:pt>
                <c:pt idx="1">
                  <c:v>Total Debt</c:v>
                </c:pt>
                <c:pt idx="2">
                  <c:v>Fixed Assets</c:v>
                </c:pt>
                <c:pt idx="3">
                  <c:v>Cash and Cash Equivalents</c:v>
                </c:pt>
              </c:strCache>
            </c:strRef>
          </c:cat>
          <c:val>
            <c:numRef>
              <c:f>'Ashok Leyland'!$AA$5:$AA$8</c:f>
              <c:numCache>
                <c:formatCode>General</c:formatCode>
                <c:ptCount val="4"/>
                <c:pt idx="0">
                  <c:v>26668.799999999999</c:v>
                </c:pt>
                <c:pt idx="1">
                  <c:v>563.70000000000005</c:v>
                </c:pt>
                <c:pt idx="2">
                  <c:v>1910.84</c:v>
                </c:pt>
                <c:pt idx="3">
                  <c:v>588.34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70-4B2D-B117-F5C7B63E1B22}"/>
            </c:ext>
          </c:extLst>
        </c:ser>
        <c:ser>
          <c:idx val="2"/>
          <c:order val="2"/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'Ashok Leyland'!$Y$5:$Y$8</c:f>
              <c:strCache>
                <c:ptCount val="4"/>
                <c:pt idx="0">
                  <c:v>Total Shareholder's Funds</c:v>
                </c:pt>
                <c:pt idx="1">
                  <c:v>Total Debt</c:v>
                </c:pt>
                <c:pt idx="2">
                  <c:v>Fixed Assets</c:v>
                </c:pt>
                <c:pt idx="3">
                  <c:v>Cash and Cash Equivalents</c:v>
                </c:pt>
              </c:strCache>
            </c:strRef>
          </c:cat>
          <c:val>
            <c:numRef>
              <c:f>'Ashok Leyland'!$AB$5:$AB$8</c:f>
              <c:numCache>
                <c:formatCode>General</c:formatCode>
                <c:ptCount val="4"/>
                <c:pt idx="0">
                  <c:v>25425.86</c:v>
                </c:pt>
                <c:pt idx="1">
                  <c:v>503.79</c:v>
                </c:pt>
                <c:pt idx="2">
                  <c:v>2797.92</c:v>
                </c:pt>
                <c:pt idx="3">
                  <c:v>285.75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270-4B2D-B117-F5C7B63E1B22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49324816"/>
        <c:axId val="74932514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'Ashok Leyland'!$Y$5:$Y$8</c15:sqref>
                        </c15:formulaRef>
                      </c:ext>
                    </c:extLst>
                    <c:strCache>
                      <c:ptCount val="4"/>
                      <c:pt idx="0">
                        <c:v>Total Shareholder's Funds</c:v>
                      </c:pt>
                      <c:pt idx="1">
                        <c:v>Total Debt</c:v>
                      </c:pt>
                      <c:pt idx="2">
                        <c:v>Fixed Assets</c:v>
                      </c:pt>
                      <c:pt idx="3">
                        <c:v>Cash and Cash Equivalents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'Ashok Leyland'!$Z$5:$Z$8</c15:sqref>
                        </c15:formulaRef>
                      </c:ext>
                    </c:extLst>
                    <c:numCache>
                      <c:formatCode>General</c:formatCode>
                      <c:ptCount val="4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B270-4B2D-B117-F5C7B63E1B22}"/>
                  </c:ext>
                </c:extLst>
              </c15:ser>
            </c15:filteredBarSeries>
          </c:ext>
        </c:extLst>
      </c:barChart>
      <c:catAx>
        <c:axId val="7493248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Particulars (2022-2023)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9325144"/>
        <c:crosses val="autoZero"/>
        <c:auto val="1"/>
        <c:lblAlgn val="ctr"/>
        <c:lblOffset val="100"/>
        <c:noMultiLvlLbl val="0"/>
      </c:catAx>
      <c:valAx>
        <c:axId val="74932514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Amount</a:t>
                </a:r>
                <a:r>
                  <a:rPr lang="en-US" baseline="0"/>
                  <a:t> (in Cr.)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2.2222222222222223E-2"/>
              <c:y val="0.2993554972295130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9324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28575" cap="flat" cmpd="sng" algn="ctr">
      <a:solidFill>
        <a:schemeClr val="accent5">
          <a:lumMod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Stock</a:t>
            </a:r>
            <a:r>
              <a:rPr lang="en-US" baseline="0"/>
              <a:t> Price Prediction (next 30 days)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'Ashok Leyland'!$H$2:$H$31</c:f>
              <c:numCache>
                <c:formatCode>General</c:formatCode>
                <c:ptCount val="30"/>
                <c:pt idx="0">
                  <c:v>3952.6325794043651</c:v>
                </c:pt>
                <c:pt idx="1">
                  <c:v>3951.5212128547391</c:v>
                </c:pt>
                <c:pt idx="2">
                  <c:v>3953.5698313860571</c:v>
                </c:pt>
                <c:pt idx="3">
                  <c:v>3952.95386070514</c:v>
                </c:pt>
                <c:pt idx="4">
                  <c:v>3953.3249387216529</c:v>
                </c:pt>
                <c:pt idx="5">
                  <c:v>3953.3451293511571</c:v>
                </c:pt>
                <c:pt idx="6">
                  <c:v>3953.3059542058058</c:v>
                </c:pt>
                <c:pt idx="7">
                  <c:v>3953.3438194433588</c:v>
                </c:pt>
                <c:pt idx="8">
                  <c:v>3953.331295551438</c:v>
                </c:pt>
                <c:pt idx="9">
                  <c:v>3953.336216109959</c:v>
                </c:pt>
                <c:pt idx="10">
                  <c:v>3953.337133534726</c:v>
                </c:pt>
                <c:pt idx="11">
                  <c:v>3953.3361298856698</c:v>
                </c:pt>
                <c:pt idx="12">
                  <c:v>3953.3368305897529</c:v>
                </c:pt>
                <c:pt idx="13">
                  <c:v>3953.3366056424111</c:v>
                </c:pt>
                <c:pt idx="14">
                  <c:v>3953.3366615062491</c:v>
                </c:pt>
                <c:pt idx="15">
                  <c:v>3953.3366889124331</c:v>
                </c:pt>
                <c:pt idx="16">
                  <c:v>3953.336666292616</c:v>
                </c:pt>
                <c:pt idx="17">
                  <c:v>3953.33667898967</c:v>
                </c:pt>
                <c:pt idx="18">
                  <c:v>3953.3366753425112</c:v>
                </c:pt>
                <c:pt idx="19">
                  <c:v>3953.3366757418198</c:v>
                </c:pt>
                <c:pt idx="20">
                  <c:v>3953.336676436244</c:v>
                </c:pt>
                <c:pt idx="21">
                  <c:v>3953.3366759640198</c:v>
                </c:pt>
                <c:pt idx="22">
                  <c:v>3953.336676186223</c:v>
                </c:pt>
                <c:pt idx="23">
                  <c:v>3953.3366761336379</c:v>
                </c:pt>
                <c:pt idx="24">
                  <c:v>3953.3366761297211</c:v>
                </c:pt>
                <c:pt idx="25">
                  <c:v>3953.336676145716</c:v>
                </c:pt>
                <c:pt idx="26">
                  <c:v>3953.336676136405</c:v>
                </c:pt>
                <c:pt idx="27">
                  <c:v>3953.336676140118</c:v>
                </c:pt>
                <c:pt idx="28">
                  <c:v>3953.3366761394909</c:v>
                </c:pt>
                <c:pt idx="29">
                  <c:v>3953.3366761392208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06-4227-B634-ADA5583954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7434944"/>
        <c:axId val="767435600"/>
      </c:lineChart>
      <c:catAx>
        <c:axId val="76743494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767435600"/>
        <c:crosses val="autoZero"/>
        <c:auto val="1"/>
        <c:lblAlgn val="ctr"/>
        <c:lblOffset val="100"/>
        <c:noMultiLvlLbl val="0"/>
      </c:catAx>
      <c:valAx>
        <c:axId val="767435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7434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Comparative Statement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'Ashok Leyland'!$AE$5:$AE$8</c:f>
              <c:strCache>
                <c:ptCount val="4"/>
                <c:pt idx="0">
                  <c:v>Total Shareholder's Funds</c:v>
                </c:pt>
                <c:pt idx="1">
                  <c:v>Total Debt</c:v>
                </c:pt>
                <c:pt idx="2">
                  <c:v>Fixed Assets</c:v>
                </c:pt>
                <c:pt idx="3">
                  <c:v>Cash and Cash Equivalents</c:v>
                </c:pt>
              </c:strCache>
            </c:strRef>
          </c:cat>
          <c:val>
            <c:numRef>
              <c:f>'Ashok Leyland'!$AF$5:$AF$8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B9F4-4D37-B836-689E605362D6}"/>
            </c:ext>
          </c:extLst>
        </c:ser>
        <c:ser>
          <c:idx val="1"/>
          <c:order val="1"/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'Ashok Leyland'!$AE$5:$AE$8</c:f>
              <c:strCache>
                <c:ptCount val="4"/>
                <c:pt idx="0">
                  <c:v>Total Shareholder's Funds</c:v>
                </c:pt>
                <c:pt idx="1">
                  <c:v>Total Debt</c:v>
                </c:pt>
                <c:pt idx="2">
                  <c:v>Fixed Assets</c:v>
                </c:pt>
                <c:pt idx="3">
                  <c:v>Cash and Cash Equivalents</c:v>
                </c:pt>
              </c:strCache>
            </c:strRef>
          </c:cat>
          <c:val>
            <c:numRef>
              <c:f>'Ashok Leyland'!$AG$5:$AG$8</c:f>
              <c:numCache>
                <c:formatCode>General</c:formatCode>
                <c:ptCount val="4"/>
                <c:pt idx="0">
                  <c:v>10794.57</c:v>
                </c:pt>
                <c:pt idx="1">
                  <c:v>611.11</c:v>
                </c:pt>
                <c:pt idx="2">
                  <c:v>2904.81</c:v>
                </c:pt>
                <c:pt idx="3">
                  <c:v>26.62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9F4-4D37-B836-689E605362D6}"/>
            </c:ext>
          </c:extLst>
        </c:ser>
        <c:ser>
          <c:idx val="2"/>
          <c:order val="2"/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'Ashok Leyland'!$AE$5:$AE$8</c:f>
              <c:strCache>
                <c:ptCount val="4"/>
                <c:pt idx="0">
                  <c:v>Total Shareholder's Funds</c:v>
                </c:pt>
                <c:pt idx="1">
                  <c:v>Total Debt</c:v>
                </c:pt>
                <c:pt idx="2">
                  <c:v>Fixed Assets</c:v>
                </c:pt>
                <c:pt idx="3">
                  <c:v>Cash and Cash Equivalents</c:v>
                </c:pt>
              </c:strCache>
            </c:strRef>
          </c:cat>
          <c:val>
            <c:numRef>
              <c:f>'Ashok Leyland'!$AH$5:$AH$8</c:f>
              <c:numCache>
                <c:formatCode>General</c:formatCode>
                <c:ptCount val="4"/>
                <c:pt idx="0">
                  <c:v>12886.9</c:v>
                </c:pt>
                <c:pt idx="1">
                  <c:v>943.53</c:v>
                </c:pt>
                <c:pt idx="2">
                  <c:v>3068.76</c:v>
                </c:pt>
                <c:pt idx="3">
                  <c:v>795.89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9F4-4D37-B836-689E605362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49324816"/>
        <c:axId val="749325144"/>
        <c:extLst/>
      </c:barChart>
      <c:catAx>
        <c:axId val="7493248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Particulars (2022-2023)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9325144"/>
        <c:crosses val="autoZero"/>
        <c:auto val="1"/>
        <c:lblAlgn val="ctr"/>
        <c:lblOffset val="100"/>
        <c:noMultiLvlLbl val="0"/>
      </c:catAx>
      <c:valAx>
        <c:axId val="74932514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Amount</a:t>
                </a:r>
                <a:r>
                  <a:rPr lang="en-US" baseline="0"/>
                  <a:t> (in Cr.)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2.2222222222222223E-2"/>
              <c:y val="0.2993554972295130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9324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28575" cap="flat" cmpd="sng" algn="ctr">
      <a:solidFill>
        <a:schemeClr val="accent5">
          <a:lumMod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Stock</a:t>
            </a:r>
            <a:r>
              <a:rPr lang="en-US" baseline="0"/>
              <a:t> Price Prediction (next 30 days)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'Ashok Leyland'!$J$2:$J$31</c:f>
              <c:numCache>
                <c:formatCode>General</c:formatCode>
                <c:ptCount val="30"/>
                <c:pt idx="0">
                  <c:v>4501.5010195434279</c:v>
                </c:pt>
                <c:pt idx="1">
                  <c:v>4506.447924031113</c:v>
                </c:pt>
                <c:pt idx="2">
                  <c:v>4505.7884636311164</c:v>
                </c:pt>
                <c:pt idx="3">
                  <c:v>4505.9762515038674</c:v>
                </c:pt>
                <c:pt idx="4">
                  <c:v>4506.3375031469986</c:v>
                </c:pt>
                <c:pt idx="5">
                  <c:v>4506.0715638218553</c:v>
                </c:pt>
                <c:pt idx="6">
                  <c:v>4505.9912104862606</c:v>
                </c:pt>
                <c:pt idx="7">
                  <c:v>4506.0139198147835</c:v>
                </c:pt>
                <c:pt idx="8">
                  <c:v>4505.9978926088588</c:v>
                </c:pt>
                <c:pt idx="9">
                  <c:v>4505.9972232743667</c:v>
                </c:pt>
                <c:pt idx="10">
                  <c:v>4506.0054869025889</c:v>
                </c:pt>
                <c:pt idx="11">
                  <c:v>4506.0059985710932</c:v>
                </c:pt>
                <c:pt idx="12">
                  <c:v>4506.0057504852139</c:v>
                </c:pt>
                <c:pt idx="13">
                  <c:v>4506.0061851448672</c:v>
                </c:pt>
                <c:pt idx="14">
                  <c:v>4506.0059634292911</c:v>
                </c:pt>
                <c:pt idx="15">
                  <c:v>4506.0057774017559</c:v>
                </c:pt>
                <c:pt idx="16">
                  <c:v>4506.0057916442556</c:v>
                </c:pt>
                <c:pt idx="17">
                  <c:v>4506.0057860963461</c:v>
                </c:pt>
                <c:pt idx="18">
                  <c:v>4506.0057812222076</c:v>
                </c:pt>
                <c:pt idx="19">
                  <c:v>4506.0057913691726</c:v>
                </c:pt>
                <c:pt idx="20">
                  <c:v>4506.0057943922266</c:v>
                </c:pt>
                <c:pt idx="21">
                  <c:v>4506.0057938340406</c:v>
                </c:pt>
                <c:pt idx="22">
                  <c:v>4506.005794144352</c:v>
                </c:pt>
                <c:pt idx="23">
                  <c:v>4506.0057939966964</c:v>
                </c:pt>
                <c:pt idx="24">
                  <c:v>4506.0057936992825</c:v>
                </c:pt>
                <c:pt idx="25">
                  <c:v>4506.0057936725461</c:v>
                </c:pt>
                <c:pt idx="26">
                  <c:v>4506.0057936819148</c:v>
                </c:pt>
                <c:pt idx="27">
                  <c:v>4506.0057936766589</c:v>
                </c:pt>
                <c:pt idx="28">
                  <c:v>4506.0057936875864</c:v>
                </c:pt>
                <c:pt idx="29">
                  <c:v>4506.0057936941485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61-4559-BFA9-30E7E211DE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7434944"/>
        <c:axId val="767435600"/>
      </c:lineChart>
      <c:catAx>
        <c:axId val="76743494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767435600"/>
        <c:crosses val="autoZero"/>
        <c:auto val="1"/>
        <c:lblAlgn val="ctr"/>
        <c:lblOffset val="100"/>
        <c:noMultiLvlLbl val="0"/>
      </c:catAx>
      <c:valAx>
        <c:axId val="767435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7434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Comparative Statement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'Ashok Leyland'!$AK$5:$AK$8</c:f>
              <c:strCache>
                <c:ptCount val="4"/>
                <c:pt idx="0">
                  <c:v>Total Shareholder's Funds</c:v>
                </c:pt>
                <c:pt idx="1">
                  <c:v>Total Debt</c:v>
                </c:pt>
                <c:pt idx="2">
                  <c:v>Fixed Assets</c:v>
                </c:pt>
                <c:pt idx="3">
                  <c:v>Cash and Cash Equivalents</c:v>
                </c:pt>
              </c:strCache>
            </c:strRef>
          </c:cat>
          <c:val>
            <c:numRef>
              <c:f>'Ashok Leyland'!$AL$5:$AL$8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A387-4C81-81AE-0626FBD3FF5E}"/>
            </c:ext>
          </c:extLst>
        </c:ser>
        <c:ser>
          <c:idx val="1"/>
          <c:order val="1"/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'Ashok Leyland'!$AK$5:$AK$8</c:f>
              <c:strCache>
                <c:ptCount val="4"/>
                <c:pt idx="0">
                  <c:v>Total Shareholder's Funds</c:v>
                </c:pt>
                <c:pt idx="1">
                  <c:v>Total Debt</c:v>
                </c:pt>
                <c:pt idx="2">
                  <c:v>Fixed Assets</c:v>
                </c:pt>
                <c:pt idx="3">
                  <c:v>Cash and Cash Equivalents</c:v>
                </c:pt>
              </c:strCache>
            </c:strRef>
          </c:cat>
          <c:val>
            <c:numRef>
              <c:f>'Ashok Leyland'!$AM$5:$AM$8</c:f>
              <c:numCache>
                <c:formatCode>General</c:formatCode>
                <c:ptCount val="4"/>
                <c:pt idx="0">
                  <c:v>15782.92</c:v>
                </c:pt>
                <c:pt idx="1">
                  <c:v>858.72</c:v>
                </c:pt>
                <c:pt idx="2">
                  <c:v>6264.68</c:v>
                </c:pt>
                <c:pt idx="3">
                  <c:v>175.12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387-4C81-81AE-0626FBD3FF5E}"/>
            </c:ext>
          </c:extLst>
        </c:ser>
        <c:ser>
          <c:idx val="2"/>
          <c:order val="2"/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'Ashok Leyland'!$AK$5:$AK$8</c:f>
              <c:strCache>
                <c:ptCount val="4"/>
                <c:pt idx="0">
                  <c:v>Total Shareholder's Funds</c:v>
                </c:pt>
                <c:pt idx="1">
                  <c:v>Total Debt</c:v>
                </c:pt>
                <c:pt idx="2">
                  <c:v>Fixed Assets</c:v>
                </c:pt>
                <c:pt idx="3">
                  <c:v>Cash and Cash Equivalents</c:v>
                </c:pt>
              </c:strCache>
            </c:strRef>
          </c:cat>
          <c:val>
            <c:numRef>
              <c:f>'Ashok Leyland'!$AN$5:$AN$8</c:f>
              <c:numCache>
                <c:formatCode>General</c:formatCode>
                <c:ptCount val="4"/>
                <c:pt idx="0">
                  <c:v>16705.09</c:v>
                </c:pt>
                <c:pt idx="1">
                  <c:v>934.07</c:v>
                </c:pt>
                <c:pt idx="2">
                  <c:v>6225.21</c:v>
                </c:pt>
                <c:pt idx="3">
                  <c:v>345.5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387-4C81-81AE-0626FBD3F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49324816"/>
        <c:axId val="749325144"/>
        <c:extLst/>
      </c:barChart>
      <c:catAx>
        <c:axId val="7493248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Particulars (2022-2023)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9325144"/>
        <c:crosses val="autoZero"/>
        <c:auto val="1"/>
        <c:lblAlgn val="ctr"/>
        <c:lblOffset val="100"/>
        <c:noMultiLvlLbl val="0"/>
      </c:catAx>
      <c:valAx>
        <c:axId val="74932514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Amount</a:t>
                </a:r>
                <a:r>
                  <a:rPr lang="en-US" baseline="0"/>
                  <a:t> (in Cr.)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2.2222222222222223E-2"/>
              <c:y val="0.2993554972295130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9324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28575" cap="flat" cmpd="sng" algn="ctr">
      <a:solidFill>
        <a:schemeClr val="accent5">
          <a:lumMod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Stock</a:t>
            </a:r>
            <a:r>
              <a:rPr lang="en-US" baseline="0"/>
              <a:t> Price Prediction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'Ashok Leyland'!$L$2:$L$31</c:f>
              <c:numCache>
                <c:formatCode>General</c:formatCode>
                <c:ptCount val="30"/>
                <c:pt idx="0">
                  <c:v>11465.916239969139</c:v>
                </c:pt>
                <c:pt idx="1">
                  <c:v>11460.61725594961</c:v>
                </c:pt>
                <c:pt idx="2">
                  <c:v>11456.151217978249</c:v>
                </c:pt>
                <c:pt idx="3">
                  <c:v>11461.7925817998</c:v>
                </c:pt>
                <c:pt idx="4">
                  <c:v>11464.292120825739</c:v>
                </c:pt>
                <c:pt idx="5">
                  <c:v>11464.523654931279</c:v>
                </c:pt>
                <c:pt idx="6">
                  <c:v>11464.832083077759</c:v>
                </c:pt>
                <c:pt idx="7">
                  <c:v>11464.883866248891</c:v>
                </c:pt>
                <c:pt idx="8">
                  <c:v>11464.635597353819</c:v>
                </c:pt>
                <c:pt idx="9">
                  <c:v>11464.539039807991</c:v>
                </c:pt>
                <c:pt idx="10">
                  <c:v>11464.52089498581</c:v>
                </c:pt>
                <c:pt idx="11">
                  <c:v>11464.5076019322</c:v>
                </c:pt>
                <c:pt idx="12">
                  <c:v>11464.51041811804</c:v>
                </c:pt>
                <c:pt idx="13">
                  <c:v>11464.521138900371</c:v>
                </c:pt>
                <c:pt idx="14">
                  <c:v>11464.52511608894</c:v>
                </c:pt>
                <c:pt idx="15">
                  <c:v>11464.52618879775</c:v>
                </c:pt>
                <c:pt idx="16">
                  <c:v>11464.526661274431</c:v>
                </c:pt>
                <c:pt idx="17">
                  <c:v>11464.52636082055</c:v>
                </c:pt>
                <c:pt idx="18">
                  <c:v>11464.5258985327</c:v>
                </c:pt>
                <c:pt idx="19">
                  <c:v>11464.52572605418</c:v>
                </c:pt>
                <c:pt idx="20">
                  <c:v>11464.5256714183</c:v>
                </c:pt>
                <c:pt idx="21">
                  <c:v>11464.52565815362</c:v>
                </c:pt>
                <c:pt idx="22">
                  <c:v>11464.5256775083</c:v>
                </c:pt>
                <c:pt idx="23">
                  <c:v>11464.52569761226</c:v>
                </c:pt>
                <c:pt idx="24">
                  <c:v>11464.525705320149</c:v>
                </c:pt>
                <c:pt idx="25">
                  <c:v>11464.52570783788</c:v>
                </c:pt>
                <c:pt idx="26">
                  <c:v>11464.525708031109</c:v>
                </c:pt>
                <c:pt idx="27">
                  <c:v>11464.52570696146</c:v>
                </c:pt>
                <c:pt idx="28">
                  <c:v>11464.52570607634</c:v>
                </c:pt>
                <c:pt idx="29">
                  <c:v>11464.52570572844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72-476E-8B96-763483831A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7434944"/>
        <c:axId val="767435600"/>
      </c:lineChart>
      <c:catAx>
        <c:axId val="76743494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767435600"/>
        <c:crosses val="autoZero"/>
        <c:auto val="1"/>
        <c:lblAlgn val="ctr"/>
        <c:lblOffset val="100"/>
        <c:noMultiLvlLbl val="0"/>
      </c:catAx>
      <c:valAx>
        <c:axId val="767435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7434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Comparative Statement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'Ashok Leyland'!$AR$5:$AR$8</c:f>
              <c:strCache>
                <c:ptCount val="4"/>
                <c:pt idx="0">
                  <c:v>Total Shareholder's Funds</c:v>
                </c:pt>
                <c:pt idx="1">
                  <c:v>Total Debt</c:v>
                </c:pt>
                <c:pt idx="2">
                  <c:v>Fixed Assets</c:v>
                </c:pt>
                <c:pt idx="3">
                  <c:v>Cash and Cash Equivalents</c:v>
                </c:pt>
              </c:strCache>
            </c:strRef>
          </c:cat>
          <c:val>
            <c:numRef>
              <c:f>'Ashok Leyland'!$AS$5:$AS$8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62F6-47A9-843D-1973E5A7DE87}"/>
            </c:ext>
          </c:extLst>
        </c:ser>
        <c:ser>
          <c:idx val="1"/>
          <c:order val="1"/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'Ashok Leyland'!$AR$5:$AR$8</c:f>
              <c:strCache>
                <c:ptCount val="4"/>
                <c:pt idx="0">
                  <c:v>Total Shareholder's Funds</c:v>
                </c:pt>
                <c:pt idx="1">
                  <c:v>Total Debt</c:v>
                </c:pt>
                <c:pt idx="2">
                  <c:v>Fixed Assets</c:v>
                </c:pt>
                <c:pt idx="3">
                  <c:v>Cash and Cash Equivalents</c:v>
                </c:pt>
              </c:strCache>
            </c:strRef>
          </c:cat>
          <c:val>
            <c:numRef>
              <c:f>'Ashok Leyland'!$AT$5:$AT$8</c:f>
              <c:numCache>
                <c:formatCode>General</c:formatCode>
                <c:ptCount val="4"/>
                <c:pt idx="0">
                  <c:v>54086</c:v>
                </c:pt>
                <c:pt idx="1">
                  <c:v>2294.6</c:v>
                </c:pt>
                <c:pt idx="2">
                  <c:v>16646.7</c:v>
                </c:pt>
                <c:pt idx="3">
                  <c:v>3036.2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2F6-47A9-843D-1973E5A7DE87}"/>
            </c:ext>
          </c:extLst>
        </c:ser>
        <c:ser>
          <c:idx val="2"/>
          <c:order val="2"/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'Ashok Leyland'!$AR$5:$AR$8</c:f>
              <c:strCache>
                <c:ptCount val="4"/>
                <c:pt idx="0">
                  <c:v>Total Shareholder's Funds</c:v>
                </c:pt>
                <c:pt idx="1">
                  <c:v>Total Debt</c:v>
                </c:pt>
                <c:pt idx="2">
                  <c:v>Fixed Assets</c:v>
                </c:pt>
                <c:pt idx="3">
                  <c:v>Cash and Cash Equivalents</c:v>
                </c:pt>
              </c:strCache>
            </c:strRef>
          </c:cat>
          <c:val>
            <c:numRef>
              <c:f>'Ashok Leyland'!$AU$5:$AU$8</c:f>
              <c:numCache>
                <c:formatCode>General</c:formatCode>
                <c:ptCount val="4"/>
                <c:pt idx="0">
                  <c:v>60382</c:v>
                </c:pt>
                <c:pt idx="1">
                  <c:v>2697.4</c:v>
                </c:pt>
                <c:pt idx="2">
                  <c:v>20701.900000000001</c:v>
                </c:pt>
                <c:pt idx="3">
                  <c:v>37.700000000000003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2F6-47A9-843D-1973E5A7DE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49324816"/>
        <c:axId val="749325144"/>
        <c:extLst/>
      </c:barChart>
      <c:catAx>
        <c:axId val="7493248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Particulars (2022-2023)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9325144"/>
        <c:crosses val="autoZero"/>
        <c:auto val="1"/>
        <c:lblAlgn val="ctr"/>
        <c:lblOffset val="100"/>
        <c:noMultiLvlLbl val="0"/>
      </c:catAx>
      <c:valAx>
        <c:axId val="74932514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Amount</a:t>
                </a:r>
                <a:r>
                  <a:rPr lang="en-US" baseline="0"/>
                  <a:t> (in Cr.)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2.2222222222222223E-2"/>
              <c:y val="0.2993554972295130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9324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28575" cap="flat" cmpd="sng" algn="ctr">
      <a:solidFill>
        <a:schemeClr val="accent5">
          <a:lumMod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Stock</a:t>
            </a:r>
            <a:r>
              <a:rPr lang="en-US" baseline="0"/>
              <a:t> Price Prediction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'Ashok Leyland'!$N$2:$N$31</c:f>
              <c:numCache>
                <c:formatCode>General</c:formatCode>
                <c:ptCount val="30"/>
                <c:pt idx="0">
                  <c:v>936.02445553159146</c:v>
                </c:pt>
                <c:pt idx="1">
                  <c:v>936.48513309838722</c:v>
                </c:pt>
                <c:pt idx="2">
                  <c:v>937.00716114259592</c:v>
                </c:pt>
                <c:pt idx="3">
                  <c:v>937.11080404856182</c:v>
                </c:pt>
                <c:pt idx="4">
                  <c:v>937.02947671988545</c:v>
                </c:pt>
                <c:pt idx="5">
                  <c:v>937.02559406753062</c:v>
                </c:pt>
                <c:pt idx="6">
                  <c:v>937.06182124890995</c:v>
                </c:pt>
                <c:pt idx="7">
                  <c:v>937.08092888908391</c:v>
                </c:pt>
                <c:pt idx="8">
                  <c:v>937.07784726162595</c:v>
                </c:pt>
                <c:pt idx="9">
                  <c:v>937.07511957963334</c:v>
                </c:pt>
                <c:pt idx="10">
                  <c:v>937.07657723228181</c:v>
                </c:pt>
                <c:pt idx="11">
                  <c:v>937.07855349249735</c:v>
                </c:pt>
                <c:pt idx="12">
                  <c:v>937.0787898956587</c:v>
                </c:pt>
                <c:pt idx="13">
                  <c:v>937.07853546813737</c:v>
                </c:pt>
                <c:pt idx="14">
                  <c:v>937.07850518356918</c:v>
                </c:pt>
                <c:pt idx="15">
                  <c:v>937.07864867881801</c:v>
                </c:pt>
                <c:pt idx="16">
                  <c:v>937.07870614201386</c:v>
                </c:pt>
                <c:pt idx="17">
                  <c:v>937.07869730259279</c:v>
                </c:pt>
                <c:pt idx="18">
                  <c:v>937.07868571998699</c:v>
                </c:pt>
                <c:pt idx="19">
                  <c:v>937.07869239366801</c:v>
                </c:pt>
                <c:pt idx="20">
                  <c:v>937.07869867605257</c:v>
                </c:pt>
                <c:pt idx="21">
                  <c:v>937.07869968035186</c:v>
                </c:pt>
                <c:pt idx="22">
                  <c:v>937.0786985603736</c:v>
                </c:pt>
                <c:pt idx="23">
                  <c:v>937.07869858201605</c:v>
                </c:pt>
                <c:pt idx="24">
                  <c:v>937.07869904201459</c:v>
                </c:pt>
                <c:pt idx="25">
                  <c:v>937.07869926416765</c:v>
                </c:pt>
                <c:pt idx="26">
                  <c:v>937.07869921046813</c:v>
                </c:pt>
                <c:pt idx="27">
                  <c:v>937.07869917912808</c:v>
                </c:pt>
                <c:pt idx="28">
                  <c:v>937.07869919923394</c:v>
                </c:pt>
                <c:pt idx="29">
                  <c:v>937.0786992237322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09-4502-B9EA-03A3166A65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7434944"/>
        <c:axId val="767435600"/>
      </c:lineChart>
      <c:catAx>
        <c:axId val="76743494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767435600"/>
        <c:crosses val="autoZero"/>
        <c:auto val="1"/>
        <c:lblAlgn val="ctr"/>
        <c:lblOffset val="100"/>
        <c:noMultiLvlLbl val="0"/>
      </c:catAx>
      <c:valAx>
        <c:axId val="767435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7434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Comparative Statement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'Ashok Leyland'!$AY$5:$AY$8</c:f>
              <c:strCache>
                <c:ptCount val="4"/>
                <c:pt idx="0">
                  <c:v>Total Shareholder's Funds</c:v>
                </c:pt>
                <c:pt idx="1">
                  <c:v>Total Debt</c:v>
                </c:pt>
                <c:pt idx="2">
                  <c:v>Fixed Assets</c:v>
                </c:pt>
                <c:pt idx="3">
                  <c:v>Cash and Cash Equivalents</c:v>
                </c:pt>
              </c:strCache>
            </c:strRef>
          </c:cat>
          <c:val>
            <c:numRef>
              <c:f>'Ashok Leyland'!$AZ$5:$AZ$8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597C-4461-8B78-0878B8B27B83}"/>
            </c:ext>
          </c:extLst>
        </c:ser>
        <c:ser>
          <c:idx val="1"/>
          <c:order val="1"/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'Ashok Leyland'!$AY$5:$AY$8</c:f>
              <c:strCache>
                <c:ptCount val="4"/>
                <c:pt idx="0">
                  <c:v>Total Shareholder's Funds</c:v>
                </c:pt>
                <c:pt idx="1">
                  <c:v>Total Debt</c:v>
                </c:pt>
                <c:pt idx="2">
                  <c:v>Fixed Assets</c:v>
                </c:pt>
                <c:pt idx="3">
                  <c:v>Cash and Cash Equivalents</c:v>
                </c:pt>
              </c:strCache>
            </c:strRef>
          </c:cat>
          <c:val>
            <c:numRef>
              <c:f>'Ashok Leyland'!$BA$5:$BA$8</c:f>
              <c:numCache>
                <c:formatCode>General</c:formatCode>
                <c:ptCount val="4"/>
                <c:pt idx="0">
                  <c:v>19937.759999999998</c:v>
                </c:pt>
                <c:pt idx="1">
                  <c:v>16962.91</c:v>
                </c:pt>
                <c:pt idx="2">
                  <c:v>15543</c:v>
                </c:pt>
                <c:pt idx="3">
                  <c:v>2605.4299999999998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97C-4461-8B78-0878B8B27B83}"/>
            </c:ext>
          </c:extLst>
        </c:ser>
        <c:ser>
          <c:idx val="2"/>
          <c:order val="2"/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'Ashok Leyland'!$AY$5:$AY$8</c:f>
              <c:strCache>
                <c:ptCount val="4"/>
                <c:pt idx="0">
                  <c:v>Total Shareholder's Funds</c:v>
                </c:pt>
                <c:pt idx="1">
                  <c:v>Total Debt</c:v>
                </c:pt>
                <c:pt idx="2">
                  <c:v>Fixed Assets</c:v>
                </c:pt>
                <c:pt idx="3">
                  <c:v>Cash and Cash Equivalents</c:v>
                </c:pt>
              </c:strCache>
            </c:strRef>
          </c:cat>
          <c:val>
            <c:numRef>
              <c:f>'Ashok Leyland'!$BB$5:$BB$8</c:f>
              <c:numCache>
                <c:formatCode>General</c:formatCode>
                <c:ptCount val="4"/>
                <c:pt idx="0">
                  <c:v>22467.39</c:v>
                </c:pt>
                <c:pt idx="1">
                  <c:v>13497.39</c:v>
                </c:pt>
                <c:pt idx="2">
                  <c:v>15627.27</c:v>
                </c:pt>
                <c:pt idx="3">
                  <c:v>1414.65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97C-4461-8B78-0878B8B27B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49324816"/>
        <c:axId val="749325144"/>
        <c:extLst/>
      </c:barChart>
      <c:catAx>
        <c:axId val="7493248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Particulars (2022-2023)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9325144"/>
        <c:crosses val="autoZero"/>
        <c:auto val="1"/>
        <c:lblAlgn val="ctr"/>
        <c:lblOffset val="100"/>
        <c:noMultiLvlLbl val="0"/>
      </c:catAx>
      <c:valAx>
        <c:axId val="74932514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Amount</a:t>
                </a:r>
                <a:r>
                  <a:rPr lang="en-US" baseline="0"/>
                  <a:t> (in Cr.)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2.2222222222222223E-2"/>
              <c:y val="0.2993554972295130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9324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28575" cap="flat" cmpd="sng" algn="ctr">
      <a:solidFill>
        <a:schemeClr val="accent5">
          <a:lumMod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Stock</a:t>
            </a:r>
            <a:r>
              <a:rPr lang="en-US" baseline="0"/>
              <a:t> Price Prediction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'Ashok Leyland'!$P$2:$P$31</c:f>
              <c:numCache>
                <c:formatCode>General</c:formatCode>
                <c:ptCount val="30"/>
                <c:pt idx="0">
                  <c:v>2161.4938538850051</c:v>
                </c:pt>
                <c:pt idx="1">
                  <c:v>2162.6635487474291</c:v>
                </c:pt>
                <c:pt idx="2">
                  <c:v>2162.3102295673739</c:v>
                </c:pt>
                <c:pt idx="3">
                  <c:v>2161.6182813464479</c:v>
                </c:pt>
                <c:pt idx="4">
                  <c:v>2161.4603651609882</c:v>
                </c:pt>
                <c:pt idx="5">
                  <c:v>2161.423324666308</c:v>
                </c:pt>
                <c:pt idx="6">
                  <c:v>2161.426780122486</c:v>
                </c:pt>
                <c:pt idx="7">
                  <c:v>2161.439810978708</c:v>
                </c:pt>
                <c:pt idx="8">
                  <c:v>2161.445104899371</c:v>
                </c:pt>
                <c:pt idx="9">
                  <c:v>2161.4466206551319</c:v>
                </c:pt>
                <c:pt idx="10">
                  <c:v>2161.4467319904511</c:v>
                </c:pt>
                <c:pt idx="11">
                  <c:v>2161.4465021612768</c:v>
                </c:pt>
                <c:pt idx="12">
                  <c:v>2161.446361549441</c:v>
                </c:pt>
                <c:pt idx="13">
                  <c:v>2161.4463107923812</c:v>
                </c:pt>
                <c:pt idx="14">
                  <c:v>2161.4463016646619</c:v>
                </c:pt>
                <c:pt idx="15">
                  <c:v>2161.446304826015</c:v>
                </c:pt>
                <c:pt idx="16">
                  <c:v>2161.4463080897121</c:v>
                </c:pt>
                <c:pt idx="17">
                  <c:v>2161.4463095755682</c:v>
                </c:pt>
                <c:pt idx="18">
                  <c:v>2161.4463099667992</c:v>
                </c:pt>
                <c:pt idx="19">
                  <c:v>2161.4463099607219</c:v>
                </c:pt>
                <c:pt idx="20">
                  <c:v>2161.4463098948381</c:v>
                </c:pt>
                <c:pt idx="21">
                  <c:v>2161.446309855708</c:v>
                </c:pt>
                <c:pt idx="22">
                  <c:v>2161.4463098423371</c:v>
                </c:pt>
                <c:pt idx="23">
                  <c:v>2161.4463098405358</c:v>
                </c:pt>
                <c:pt idx="24">
                  <c:v>2161.446309841589</c:v>
                </c:pt>
                <c:pt idx="25">
                  <c:v>2161.4463098425208</c:v>
                </c:pt>
                <c:pt idx="26">
                  <c:v>2161.446309842921</c:v>
                </c:pt>
                <c:pt idx="27">
                  <c:v>2161.4463098430142</c:v>
                </c:pt>
                <c:pt idx="28">
                  <c:v>2161.446309843006</c:v>
                </c:pt>
                <c:pt idx="29">
                  <c:v>2161.446309842986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74-40DB-A161-12ADAF0E91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7434944"/>
        <c:axId val="767435600"/>
      </c:lineChart>
      <c:catAx>
        <c:axId val="76743494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767435600"/>
        <c:crosses val="autoZero"/>
        <c:auto val="1"/>
        <c:lblAlgn val="ctr"/>
        <c:lblOffset val="100"/>
        <c:noMultiLvlLbl val="0"/>
      </c:catAx>
      <c:valAx>
        <c:axId val="767435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7434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Comparative Statement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'Ashok Leyland'!$BF$5:$BF$8</c:f>
              <c:strCache>
                <c:ptCount val="4"/>
                <c:pt idx="0">
                  <c:v>Total Shareholder's Funds</c:v>
                </c:pt>
                <c:pt idx="1">
                  <c:v>Total Debt</c:v>
                </c:pt>
                <c:pt idx="2">
                  <c:v>Fixed Assets</c:v>
                </c:pt>
                <c:pt idx="3">
                  <c:v>Cash and Cash Equivalents</c:v>
                </c:pt>
              </c:strCache>
            </c:strRef>
          </c:cat>
          <c:val>
            <c:numRef>
              <c:f>'Ashok Leyland'!$BG$5:$BG$8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47DD-4D8E-8D29-902F06407D5A}"/>
            </c:ext>
          </c:extLst>
        </c:ser>
        <c:ser>
          <c:idx val="1"/>
          <c:order val="1"/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'Ashok Leyland'!$BF$5:$BF$8</c:f>
              <c:strCache>
                <c:ptCount val="4"/>
                <c:pt idx="0">
                  <c:v>Total Shareholder's Funds</c:v>
                </c:pt>
                <c:pt idx="1">
                  <c:v>Total Debt</c:v>
                </c:pt>
                <c:pt idx="2">
                  <c:v>Fixed Assets</c:v>
                </c:pt>
                <c:pt idx="3">
                  <c:v>Cash and Cash Equivalents</c:v>
                </c:pt>
              </c:strCache>
            </c:strRef>
          </c:cat>
          <c:val>
            <c:numRef>
              <c:f>'Ashok Leyland'!$BH$5:$BH$8</c:f>
              <c:numCache>
                <c:formatCode>General</c:formatCode>
                <c:ptCount val="4"/>
                <c:pt idx="0">
                  <c:v>4822.04</c:v>
                </c:pt>
                <c:pt idx="1">
                  <c:v>1839.19</c:v>
                </c:pt>
                <c:pt idx="2">
                  <c:v>3731.1</c:v>
                </c:pt>
                <c:pt idx="3">
                  <c:v>401.29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DD-4D8E-8D29-902F06407D5A}"/>
            </c:ext>
          </c:extLst>
        </c:ser>
        <c:ser>
          <c:idx val="2"/>
          <c:order val="2"/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'Ashok Leyland'!$BF$5:$BF$8</c:f>
              <c:strCache>
                <c:ptCount val="4"/>
                <c:pt idx="0">
                  <c:v>Total Shareholder's Funds</c:v>
                </c:pt>
                <c:pt idx="1">
                  <c:v>Total Debt</c:v>
                </c:pt>
                <c:pt idx="2">
                  <c:v>Fixed Assets</c:v>
                </c:pt>
                <c:pt idx="3">
                  <c:v>Cash and Cash Equivalents</c:v>
                </c:pt>
              </c:strCache>
            </c:strRef>
          </c:cat>
          <c:val>
            <c:numRef>
              <c:f>'Ashok Leyland'!$BI$5:$BI$8</c:f>
              <c:numCache>
                <c:formatCode>General</c:formatCode>
                <c:ptCount val="4"/>
                <c:pt idx="0">
                  <c:v>6047.85</c:v>
                </c:pt>
                <c:pt idx="1">
                  <c:v>1936</c:v>
                </c:pt>
                <c:pt idx="2">
                  <c:v>4223.62</c:v>
                </c:pt>
                <c:pt idx="3">
                  <c:v>241.96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DD-4D8E-8D29-902F06407D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49324816"/>
        <c:axId val="749325144"/>
        <c:extLst/>
      </c:barChart>
      <c:catAx>
        <c:axId val="7493248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Particulars (2022-2023)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9325144"/>
        <c:crosses val="autoZero"/>
        <c:auto val="1"/>
        <c:lblAlgn val="ctr"/>
        <c:lblOffset val="100"/>
        <c:noMultiLvlLbl val="0"/>
      </c:catAx>
      <c:valAx>
        <c:axId val="74932514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Amount</a:t>
                </a:r>
                <a:r>
                  <a:rPr lang="en-US" baseline="0"/>
                  <a:t> (in Cr.)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2.2222222222222223E-2"/>
              <c:y val="0.2993554972295130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9324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28575" cap="flat" cmpd="sng" algn="ctr">
      <a:solidFill>
        <a:schemeClr val="accent5">
          <a:lumMod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Nifty Auto Index Prediction (Next 3 Months)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NiftyAuto!$B$1</c:f>
              <c:strCache>
                <c:ptCount val="1"/>
                <c:pt idx="0">
                  <c:v>Close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NiftyAuto!$A$2:$A$91</c:f>
              <c:strCache>
                <c:ptCount val="90"/>
                <c:pt idx="0">
                  <c:v>24/02/24</c:v>
                </c:pt>
                <c:pt idx="1">
                  <c:v>25/02/24</c:v>
                </c:pt>
                <c:pt idx="2">
                  <c:v>26/02/24</c:v>
                </c:pt>
                <c:pt idx="3">
                  <c:v>27/02/24</c:v>
                </c:pt>
                <c:pt idx="4">
                  <c:v>28/02/24</c:v>
                </c:pt>
                <c:pt idx="5">
                  <c:v>29/02/24</c:v>
                </c:pt>
                <c:pt idx="6">
                  <c:v>1/3/2024</c:v>
                </c:pt>
                <c:pt idx="7">
                  <c:v>2/3/2024</c:v>
                </c:pt>
                <c:pt idx="8">
                  <c:v>3/3/2024</c:v>
                </c:pt>
                <c:pt idx="9">
                  <c:v>4/3/2024</c:v>
                </c:pt>
                <c:pt idx="10">
                  <c:v>5/3/2024</c:v>
                </c:pt>
                <c:pt idx="11">
                  <c:v>6/3/2024</c:v>
                </c:pt>
                <c:pt idx="12">
                  <c:v>7/3/2024</c:v>
                </c:pt>
                <c:pt idx="13">
                  <c:v>8/3/2024</c:v>
                </c:pt>
                <c:pt idx="14">
                  <c:v>9/3/2024</c:v>
                </c:pt>
                <c:pt idx="15">
                  <c:v>10/3/2024</c:v>
                </c:pt>
                <c:pt idx="16">
                  <c:v>11/3/2024</c:v>
                </c:pt>
                <c:pt idx="17">
                  <c:v>12/3/2024</c:v>
                </c:pt>
                <c:pt idx="18">
                  <c:v>13/03/24</c:v>
                </c:pt>
                <c:pt idx="19">
                  <c:v>14/03/24</c:v>
                </c:pt>
                <c:pt idx="20">
                  <c:v>15/03/24</c:v>
                </c:pt>
                <c:pt idx="21">
                  <c:v>16/03/24</c:v>
                </c:pt>
                <c:pt idx="22">
                  <c:v>17/03/24</c:v>
                </c:pt>
                <c:pt idx="23">
                  <c:v>18/03/24</c:v>
                </c:pt>
                <c:pt idx="24">
                  <c:v>19/03/24</c:v>
                </c:pt>
                <c:pt idx="25">
                  <c:v>20/03/24</c:v>
                </c:pt>
                <c:pt idx="26">
                  <c:v>21/03/24</c:v>
                </c:pt>
                <c:pt idx="27">
                  <c:v>22/03/24</c:v>
                </c:pt>
                <c:pt idx="28">
                  <c:v>23/03/24</c:v>
                </c:pt>
                <c:pt idx="29">
                  <c:v>24/03/24</c:v>
                </c:pt>
                <c:pt idx="30">
                  <c:v>25/03/24</c:v>
                </c:pt>
                <c:pt idx="31">
                  <c:v>26/03/24</c:v>
                </c:pt>
                <c:pt idx="32">
                  <c:v>27/03/24</c:v>
                </c:pt>
                <c:pt idx="33">
                  <c:v>28/03/24</c:v>
                </c:pt>
                <c:pt idx="34">
                  <c:v>29/03/24</c:v>
                </c:pt>
                <c:pt idx="35">
                  <c:v>30/03/24</c:v>
                </c:pt>
                <c:pt idx="36">
                  <c:v>31/03/24</c:v>
                </c:pt>
                <c:pt idx="37">
                  <c:v>1/4/2024</c:v>
                </c:pt>
                <c:pt idx="38">
                  <c:v>2/4/2024</c:v>
                </c:pt>
                <c:pt idx="39">
                  <c:v>3/4/2024</c:v>
                </c:pt>
                <c:pt idx="40">
                  <c:v>4/4/2024</c:v>
                </c:pt>
                <c:pt idx="41">
                  <c:v>5/4/2024</c:v>
                </c:pt>
                <c:pt idx="42">
                  <c:v>6/4/2024</c:v>
                </c:pt>
                <c:pt idx="43">
                  <c:v>7/4/2024</c:v>
                </c:pt>
                <c:pt idx="44">
                  <c:v>8/4/2024</c:v>
                </c:pt>
                <c:pt idx="45">
                  <c:v>9/4/2024</c:v>
                </c:pt>
                <c:pt idx="46">
                  <c:v>10/4/2024</c:v>
                </c:pt>
                <c:pt idx="47">
                  <c:v>11/4/2024</c:v>
                </c:pt>
                <c:pt idx="48">
                  <c:v>12/4/2024</c:v>
                </c:pt>
                <c:pt idx="49">
                  <c:v>13/04/24</c:v>
                </c:pt>
                <c:pt idx="50">
                  <c:v>14/04/24</c:v>
                </c:pt>
                <c:pt idx="51">
                  <c:v>15/04/24</c:v>
                </c:pt>
                <c:pt idx="52">
                  <c:v>16/04/24</c:v>
                </c:pt>
                <c:pt idx="53">
                  <c:v>17/04/24</c:v>
                </c:pt>
                <c:pt idx="54">
                  <c:v>18/04/24</c:v>
                </c:pt>
                <c:pt idx="55">
                  <c:v>19/04/24</c:v>
                </c:pt>
                <c:pt idx="56">
                  <c:v>20/04/24</c:v>
                </c:pt>
                <c:pt idx="57">
                  <c:v>21/04/24</c:v>
                </c:pt>
                <c:pt idx="58">
                  <c:v>22/04/24</c:v>
                </c:pt>
                <c:pt idx="59">
                  <c:v>23/04/24</c:v>
                </c:pt>
                <c:pt idx="60">
                  <c:v>24/04/24</c:v>
                </c:pt>
                <c:pt idx="61">
                  <c:v>25/04/24</c:v>
                </c:pt>
                <c:pt idx="62">
                  <c:v>26/04/24</c:v>
                </c:pt>
                <c:pt idx="63">
                  <c:v>27/04/24</c:v>
                </c:pt>
                <c:pt idx="64">
                  <c:v>28/04/24</c:v>
                </c:pt>
                <c:pt idx="65">
                  <c:v>29/04/24</c:v>
                </c:pt>
                <c:pt idx="66">
                  <c:v>30/04/24</c:v>
                </c:pt>
                <c:pt idx="67">
                  <c:v>1/5/2024</c:v>
                </c:pt>
                <c:pt idx="68">
                  <c:v>2/5/2024</c:v>
                </c:pt>
                <c:pt idx="69">
                  <c:v>3/5/2024</c:v>
                </c:pt>
                <c:pt idx="70">
                  <c:v>4/5/2024</c:v>
                </c:pt>
                <c:pt idx="71">
                  <c:v>5/5/2024</c:v>
                </c:pt>
                <c:pt idx="72">
                  <c:v>6/5/2024</c:v>
                </c:pt>
                <c:pt idx="73">
                  <c:v>7/5/2024</c:v>
                </c:pt>
                <c:pt idx="74">
                  <c:v>8/5/2024</c:v>
                </c:pt>
                <c:pt idx="75">
                  <c:v>9/5/2024</c:v>
                </c:pt>
                <c:pt idx="76">
                  <c:v>10/5/2024</c:v>
                </c:pt>
                <c:pt idx="77">
                  <c:v>11/5/2024</c:v>
                </c:pt>
                <c:pt idx="78">
                  <c:v>12/5/2024</c:v>
                </c:pt>
                <c:pt idx="79">
                  <c:v>13/05/24</c:v>
                </c:pt>
                <c:pt idx="80">
                  <c:v>14/05/24</c:v>
                </c:pt>
                <c:pt idx="81">
                  <c:v>15/05/24</c:v>
                </c:pt>
                <c:pt idx="82">
                  <c:v>16/05/24</c:v>
                </c:pt>
                <c:pt idx="83">
                  <c:v>17/05/24</c:v>
                </c:pt>
                <c:pt idx="84">
                  <c:v>18/05/24</c:v>
                </c:pt>
                <c:pt idx="85">
                  <c:v>19/05/24</c:v>
                </c:pt>
                <c:pt idx="86">
                  <c:v>20/05/24</c:v>
                </c:pt>
                <c:pt idx="87">
                  <c:v>21/05/24</c:v>
                </c:pt>
                <c:pt idx="88">
                  <c:v>22/05/24</c:v>
                </c:pt>
                <c:pt idx="89">
                  <c:v>23/05/24</c:v>
                </c:pt>
              </c:strCache>
            </c:strRef>
          </c:cat>
          <c:val>
            <c:numRef>
              <c:f>NiftyAuto!$B$2:$B$91</c:f>
              <c:numCache>
                <c:formatCode>General</c:formatCode>
                <c:ptCount val="90"/>
                <c:pt idx="0">
                  <c:v>3525.3767779999998</c:v>
                </c:pt>
                <c:pt idx="1">
                  <c:v>3519.514588</c:v>
                </c:pt>
                <c:pt idx="2">
                  <c:v>3513.9371970000002</c:v>
                </c:pt>
                <c:pt idx="3">
                  <c:v>3508.3779880000002</c:v>
                </c:pt>
                <c:pt idx="4">
                  <c:v>3502.8199399999999</c:v>
                </c:pt>
                <c:pt idx="5">
                  <c:v>3497.261966</c:v>
                </c:pt>
                <c:pt idx="6">
                  <c:v>3491.7039960000002</c:v>
                </c:pt>
                <c:pt idx="7">
                  <c:v>3486.1460269999998</c:v>
                </c:pt>
                <c:pt idx="8">
                  <c:v>3480.5880579999998</c:v>
                </c:pt>
                <c:pt idx="9">
                  <c:v>3475.0300889999999</c:v>
                </c:pt>
                <c:pt idx="10">
                  <c:v>3469.4721199999999</c:v>
                </c:pt>
                <c:pt idx="11">
                  <c:v>3463.9141509999999</c:v>
                </c:pt>
                <c:pt idx="12">
                  <c:v>3458.3561810000001</c:v>
                </c:pt>
                <c:pt idx="13">
                  <c:v>3452.7982120000001</c:v>
                </c:pt>
                <c:pt idx="14">
                  <c:v>3447.2402430000002</c:v>
                </c:pt>
                <c:pt idx="15">
                  <c:v>3441.6822739999998</c:v>
                </c:pt>
                <c:pt idx="16">
                  <c:v>3436.1243049999998</c:v>
                </c:pt>
                <c:pt idx="17">
                  <c:v>3430.5663359999999</c:v>
                </c:pt>
                <c:pt idx="18">
                  <c:v>3425.0083669999999</c:v>
                </c:pt>
                <c:pt idx="19">
                  <c:v>3419.4503970000001</c:v>
                </c:pt>
                <c:pt idx="20">
                  <c:v>3413.8924280000001</c:v>
                </c:pt>
                <c:pt idx="21">
                  <c:v>3408.3344590000002</c:v>
                </c:pt>
                <c:pt idx="22">
                  <c:v>3402.7764900000002</c:v>
                </c:pt>
                <c:pt idx="23">
                  <c:v>3397.2185209999998</c:v>
                </c:pt>
                <c:pt idx="24">
                  <c:v>3391.6605519999998</c:v>
                </c:pt>
                <c:pt idx="25">
                  <c:v>3386.1025829999999</c:v>
                </c:pt>
                <c:pt idx="26">
                  <c:v>3380.544613</c:v>
                </c:pt>
                <c:pt idx="27">
                  <c:v>3374.9866440000001</c:v>
                </c:pt>
                <c:pt idx="28">
                  <c:v>3369.4286750000001</c:v>
                </c:pt>
                <c:pt idx="29">
                  <c:v>3363.8707060000002</c:v>
                </c:pt>
                <c:pt idx="30">
                  <c:v>3358.3127370000002</c:v>
                </c:pt>
                <c:pt idx="31">
                  <c:v>3352.7547679999998</c:v>
                </c:pt>
                <c:pt idx="32">
                  <c:v>3347.1967989999998</c:v>
                </c:pt>
                <c:pt idx="33">
                  <c:v>3341.638829</c:v>
                </c:pt>
                <c:pt idx="34">
                  <c:v>3336.08086</c:v>
                </c:pt>
                <c:pt idx="35">
                  <c:v>3330.5228910000001</c:v>
                </c:pt>
                <c:pt idx="36">
                  <c:v>3324.9649220000001</c:v>
                </c:pt>
                <c:pt idx="37">
                  <c:v>3319.4069530000002</c:v>
                </c:pt>
                <c:pt idx="38">
                  <c:v>3313.8489840000002</c:v>
                </c:pt>
                <c:pt idx="39">
                  <c:v>3308.2910149999998</c:v>
                </c:pt>
                <c:pt idx="40">
                  <c:v>3302.7330449999999</c:v>
                </c:pt>
                <c:pt idx="41">
                  <c:v>3297.175076</c:v>
                </c:pt>
                <c:pt idx="42">
                  <c:v>3291.617107</c:v>
                </c:pt>
                <c:pt idx="43">
                  <c:v>3286.0591380000001</c:v>
                </c:pt>
                <c:pt idx="44">
                  <c:v>3280.5011690000001</c:v>
                </c:pt>
                <c:pt idx="45">
                  <c:v>3274.9432000000002</c:v>
                </c:pt>
                <c:pt idx="46">
                  <c:v>3269.3852310000002</c:v>
                </c:pt>
                <c:pt idx="47">
                  <c:v>3263.8272609999999</c:v>
                </c:pt>
                <c:pt idx="48">
                  <c:v>3258.269292</c:v>
                </c:pt>
                <c:pt idx="49">
                  <c:v>3252.711323</c:v>
                </c:pt>
                <c:pt idx="50">
                  <c:v>3247.153354</c:v>
                </c:pt>
                <c:pt idx="51">
                  <c:v>3241.5953850000001</c:v>
                </c:pt>
                <c:pt idx="52">
                  <c:v>3236.0374160000001</c:v>
                </c:pt>
                <c:pt idx="53">
                  <c:v>3230.4794470000002</c:v>
                </c:pt>
                <c:pt idx="54">
                  <c:v>3224.9214769999999</c:v>
                </c:pt>
                <c:pt idx="55">
                  <c:v>3219.3635079999999</c:v>
                </c:pt>
                <c:pt idx="56">
                  <c:v>3213.805539</c:v>
                </c:pt>
                <c:pt idx="57">
                  <c:v>3208.24757</c:v>
                </c:pt>
                <c:pt idx="58">
                  <c:v>3202.689601</c:v>
                </c:pt>
                <c:pt idx="59">
                  <c:v>3197.1316320000001</c:v>
                </c:pt>
                <c:pt idx="60">
                  <c:v>3191.5736630000001</c:v>
                </c:pt>
                <c:pt idx="61">
                  <c:v>3186.0156929999998</c:v>
                </c:pt>
                <c:pt idx="62">
                  <c:v>3180.4577239999999</c:v>
                </c:pt>
                <c:pt idx="63">
                  <c:v>3174.8997549999999</c:v>
                </c:pt>
                <c:pt idx="64">
                  <c:v>3169.341786</c:v>
                </c:pt>
                <c:pt idx="65">
                  <c:v>3163.783817</c:v>
                </c:pt>
                <c:pt idx="66">
                  <c:v>3158.225848</c:v>
                </c:pt>
                <c:pt idx="67">
                  <c:v>3152.6678790000001</c:v>
                </c:pt>
                <c:pt idx="68">
                  <c:v>3147.1099089999998</c:v>
                </c:pt>
                <c:pt idx="69">
                  <c:v>3141.5519399999998</c:v>
                </c:pt>
                <c:pt idx="70">
                  <c:v>3135.9939709999999</c:v>
                </c:pt>
                <c:pt idx="71">
                  <c:v>3130.4360019999999</c:v>
                </c:pt>
                <c:pt idx="72">
                  <c:v>3124.878033</c:v>
                </c:pt>
                <c:pt idx="73">
                  <c:v>3119.320064</c:v>
                </c:pt>
                <c:pt idx="74">
                  <c:v>3113.762095</c:v>
                </c:pt>
                <c:pt idx="75">
                  <c:v>3108.2041250000002</c:v>
                </c:pt>
                <c:pt idx="76">
                  <c:v>3102.6461559999998</c:v>
                </c:pt>
                <c:pt idx="77">
                  <c:v>3097.0881869999998</c:v>
                </c:pt>
                <c:pt idx="78">
                  <c:v>3091.5302179999999</c:v>
                </c:pt>
                <c:pt idx="79">
                  <c:v>3085.9722489999999</c:v>
                </c:pt>
                <c:pt idx="80">
                  <c:v>3080.41428</c:v>
                </c:pt>
                <c:pt idx="81">
                  <c:v>3074.8563100000001</c:v>
                </c:pt>
                <c:pt idx="82">
                  <c:v>3069.2983410000002</c:v>
                </c:pt>
                <c:pt idx="83">
                  <c:v>3063.7403720000002</c:v>
                </c:pt>
                <c:pt idx="84">
                  <c:v>3058.1824029999998</c:v>
                </c:pt>
                <c:pt idx="85">
                  <c:v>3052.6244339999998</c:v>
                </c:pt>
                <c:pt idx="86">
                  <c:v>3047.0664649999999</c:v>
                </c:pt>
                <c:pt idx="87">
                  <c:v>3041.5084959999999</c:v>
                </c:pt>
                <c:pt idx="88">
                  <c:v>3035.9505260000001</c:v>
                </c:pt>
                <c:pt idx="89">
                  <c:v>3030.3925570000001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18-4AE7-A82E-A064FF5C07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771340240"/>
        <c:axId val="771337288"/>
      </c:lineChart>
      <c:catAx>
        <c:axId val="77134024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771337288"/>
        <c:crosses val="autoZero"/>
        <c:auto val="1"/>
        <c:lblAlgn val="ctr"/>
        <c:lblOffset val="100"/>
        <c:noMultiLvlLbl val="0"/>
      </c:catAx>
      <c:valAx>
        <c:axId val="77133728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Price (in ₹)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340240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'Ashok Leyland'!$B$1220:$B$1266</c:f>
              <c:numCache>
                <c:formatCode>General</c:formatCode>
                <c:ptCount val="47"/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'Ashok Leyland'!#REF!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7B71-403D-AC61-93AC852F09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1041376"/>
        <c:axId val="601042032"/>
      </c:lineChart>
      <c:catAx>
        <c:axId val="601041376"/>
        <c:scaling>
          <c:orientation val="minMax"/>
        </c:scaling>
        <c:delete val="0"/>
        <c:axPos val="b"/>
        <c:numFmt formatCode="dd\-mm\-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1042032"/>
        <c:crosses val="autoZero"/>
        <c:auto val="1"/>
        <c:lblAlgn val="ctr"/>
        <c:lblOffset val="100"/>
        <c:noMultiLvlLbl val="0"/>
      </c:catAx>
      <c:valAx>
        <c:axId val="601042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104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Comparative Statement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'Ashok Leyland'!$Y$5:$Y$8</c:f>
              <c:strCache>
                <c:ptCount val="4"/>
                <c:pt idx="0">
                  <c:v>Total Shareholder's Funds</c:v>
                </c:pt>
                <c:pt idx="1">
                  <c:v>Total Debt</c:v>
                </c:pt>
                <c:pt idx="2">
                  <c:v>Fixed Assets</c:v>
                </c:pt>
                <c:pt idx="3">
                  <c:v>Cash and Cash Equivalents</c:v>
                </c:pt>
              </c:strCache>
            </c:strRef>
          </c:cat>
          <c:val>
            <c:numRef>
              <c:f>'Ashok Leyland'!$AA$5:$AA$8</c:f>
              <c:numCache>
                <c:formatCode>General</c:formatCode>
                <c:ptCount val="4"/>
                <c:pt idx="0">
                  <c:v>26668.799999999999</c:v>
                </c:pt>
                <c:pt idx="1">
                  <c:v>563.70000000000005</c:v>
                </c:pt>
                <c:pt idx="2">
                  <c:v>1910.84</c:v>
                </c:pt>
                <c:pt idx="3">
                  <c:v>588.34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FA-476C-A6F3-41F1AC10E348}"/>
            </c:ext>
          </c:extLst>
        </c:ser>
        <c:ser>
          <c:idx val="2"/>
          <c:order val="2"/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'Ashok Leyland'!$Y$5:$Y$8</c:f>
              <c:strCache>
                <c:ptCount val="4"/>
                <c:pt idx="0">
                  <c:v>Total Shareholder's Funds</c:v>
                </c:pt>
                <c:pt idx="1">
                  <c:v>Total Debt</c:v>
                </c:pt>
                <c:pt idx="2">
                  <c:v>Fixed Assets</c:v>
                </c:pt>
                <c:pt idx="3">
                  <c:v>Cash and Cash Equivalents</c:v>
                </c:pt>
              </c:strCache>
            </c:strRef>
          </c:cat>
          <c:val>
            <c:numRef>
              <c:f>'Ashok Leyland'!$AB$5:$AB$8</c:f>
              <c:numCache>
                <c:formatCode>General</c:formatCode>
                <c:ptCount val="4"/>
                <c:pt idx="0">
                  <c:v>25425.86</c:v>
                </c:pt>
                <c:pt idx="1">
                  <c:v>503.79</c:v>
                </c:pt>
                <c:pt idx="2">
                  <c:v>2797.92</c:v>
                </c:pt>
                <c:pt idx="3">
                  <c:v>285.75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FA-476C-A6F3-41F1AC10E3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49324816"/>
        <c:axId val="74932514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'Ashok Leyland'!$Y$5:$Y$8</c15:sqref>
                        </c15:formulaRef>
                      </c:ext>
                    </c:extLst>
                    <c:strCache>
                      <c:ptCount val="4"/>
                      <c:pt idx="0">
                        <c:v>Total Shareholder's Funds</c:v>
                      </c:pt>
                      <c:pt idx="1">
                        <c:v>Total Debt</c:v>
                      </c:pt>
                      <c:pt idx="2">
                        <c:v>Fixed Assets</c:v>
                      </c:pt>
                      <c:pt idx="3">
                        <c:v>Cash and Cash Equivalents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'Ashok Leyland'!$Z$5:$Z$8</c15:sqref>
                        </c15:formulaRef>
                      </c:ext>
                    </c:extLst>
                    <c:numCache>
                      <c:formatCode>General</c:formatCode>
                      <c:ptCount val="4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24FA-476C-A6F3-41F1AC10E348}"/>
                  </c:ext>
                </c:extLst>
              </c15:ser>
            </c15:filteredBarSeries>
          </c:ext>
        </c:extLst>
      </c:barChart>
      <c:catAx>
        <c:axId val="7493248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Particulars (2022-2023)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9325144"/>
        <c:crosses val="autoZero"/>
        <c:auto val="1"/>
        <c:lblAlgn val="ctr"/>
        <c:lblOffset val="100"/>
        <c:noMultiLvlLbl val="0"/>
      </c:catAx>
      <c:valAx>
        <c:axId val="74932514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Amount</a:t>
                </a:r>
                <a:r>
                  <a:rPr lang="en-US" baseline="0"/>
                  <a:t> (in Cr.)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2.2222222222222223E-2"/>
              <c:y val="0.2993554972295130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9324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28575" cap="flat" cmpd="sng" algn="ctr">
      <a:solidFill>
        <a:schemeClr val="accent5">
          <a:lumMod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Comparative Statement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'Ashok Leyland'!$AE$5:$AE$8</c:f>
              <c:strCache>
                <c:ptCount val="4"/>
                <c:pt idx="0">
                  <c:v>Total Shareholder's Funds</c:v>
                </c:pt>
                <c:pt idx="1">
                  <c:v>Total Debt</c:v>
                </c:pt>
                <c:pt idx="2">
                  <c:v>Fixed Assets</c:v>
                </c:pt>
                <c:pt idx="3">
                  <c:v>Cash and Cash Equivalents</c:v>
                </c:pt>
              </c:strCache>
            </c:strRef>
          </c:cat>
          <c:val>
            <c:numRef>
              <c:f>'Ashok Leyland'!$AF$5:$AF$8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FE7B-4860-A398-C966793965F2}"/>
            </c:ext>
          </c:extLst>
        </c:ser>
        <c:ser>
          <c:idx val="1"/>
          <c:order val="1"/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'Ashok Leyland'!$AE$5:$AE$8</c:f>
              <c:strCache>
                <c:ptCount val="4"/>
                <c:pt idx="0">
                  <c:v>Total Shareholder's Funds</c:v>
                </c:pt>
                <c:pt idx="1">
                  <c:v>Total Debt</c:v>
                </c:pt>
                <c:pt idx="2">
                  <c:v>Fixed Assets</c:v>
                </c:pt>
                <c:pt idx="3">
                  <c:v>Cash and Cash Equivalents</c:v>
                </c:pt>
              </c:strCache>
            </c:strRef>
          </c:cat>
          <c:val>
            <c:numRef>
              <c:f>'Ashok Leyland'!$AG$5:$AG$8</c:f>
              <c:numCache>
                <c:formatCode>General</c:formatCode>
                <c:ptCount val="4"/>
                <c:pt idx="0">
                  <c:v>10794.57</c:v>
                </c:pt>
                <c:pt idx="1">
                  <c:v>611.11</c:v>
                </c:pt>
                <c:pt idx="2">
                  <c:v>2904.81</c:v>
                </c:pt>
                <c:pt idx="3">
                  <c:v>26.62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7B-4860-A398-C966793965F2}"/>
            </c:ext>
          </c:extLst>
        </c:ser>
        <c:ser>
          <c:idx val="2"/>
          <c:order val="2"/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'Ashok Leyland'!$AE$5:$AE$8</c:f>
              <c:strCache>
                <c:ptCount val="4"/>
                <c:pt idx="0">
                  <c:v>Total Shareholder's Funds</c:v>
                </c:pt>
                <c:pt idx="1">
                  <c:v>Total Debt</c:v>
                </c:pt>
                <c:pt idx="2">
                  <c:v>Fixed Assets</c:v>
                </c:pt>
                <c:pt idx="3">
                  <c:v>Cash and Cash Equivalents</c:v>
                </c:pt>
              </c:strCache>
            </c:strRef>
          </c:cat>
          <c:val>
            <c:numRef>
              <c:f>'Ashok Leyland'!$AH$5:$AH$8</c:f>
              <c:numCache>
                <c:formatCode>General</c:formatCode>
                <c:ptCount val="4"/>
                <c:pt idx="0">
                  <c:v>12886.9</c:v>
                </c:pt>
                <c:pt idx="1">
                  <c:v>943.53</c:v>
                </c:pt>
                <c:pt idx="2">
                  <c:v>3068.76</c:v>
                </c:pt>
                <c:pt idx="3">
                  <c:v>795.89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E7B-4860-A398-C966793965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49324816"/>
        <c:axId val="749325144"/>
        <c:extLst/>
      </c:barChart>
      <c:catAx>
        <c:axId val="7493248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Particulars (2022-2023)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9325144"/>
        <c:crosses val="autoZero"/>
        <c:auto val="1"/>
        <c:lblAlgn val="ctr"/>
        <c:lblOffset val="100"/>
        <c:noMultiLvlLbl val="0"/>
      </c:catAx>
      <c:valAx>
        <c:axId val="74932514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Amount</a:t>
                </a:r>
                <a:r>
                  <a:rPr lang="en-US" baseline="0"/>
                  <a:t> (in Cr.)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2.2222222222222223E-2"/>
              <c:y val="0.2993554972295130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9324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28575" cap="flat" cmpd="sng" algn="ctr">
      <a:solidFill>
        <a:schemeClr val="accent5">
          <a:lumMod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Comparative Statement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'Ashok Leyland'!$AK$5:$AK$8</c:f>
              <c:strCache>
                <c:ptCount val="4"/>
                <c:pt idx="0">
                  <c:v>Total Shareholder's Funds</c:v>
                </c:pt>
                <c:pt idx="1">
                  <c:v>Total Debt</c:v>
                </c:pt>
                <c:pt idx="2">
                  <c:v>Fixed Assets</c:v>
                </c:pt>
                <c:pt idx="3">
                  <c:v>Cash and Cash Equivalents</c:v>
                </c:pt>
              </c:strCache>
            </c:strRef>
          </c:cat>
          <c:val>
            <c:numRef>
              <c:f>'Ashok Leyland'!$AL$5:$AL$8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9E48-4041-B8E7-F6DB0C15BEA3}"/>
            </c:ext>
          </c:extLst>
        </c:ser>
        <c:ser>
          <c:idx val="1"/>
          <c:order val="1"/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'Ashok Leyland'!$AK$5:$AK$8</c:f>
              <c:strCache>
                <c:ptCount val="4"/>
                <c:pt idx="0">
                  <c:v>Total Shareholder's Funds</c:v>
                </c:pt>
                <c:pt idx="1">
                  <c:v>Total Debt</c:v>
                </c:pt>
                <c:pt idx="2">
                  <c:v>Fixed Assets</c:v>
                </c:pt>
                <c:pt idx="3">
                  <c:v>Cash and Cash Equivalents</c:v>
                </c:pt>
              </c:strCache>
            </c:strRef>
          </c:cat>
          <c:val>
            <c:numRef>
              <c:f>'Ashok Leyland'!$AM$5:$AM$8</c:f>
              <c:numCache>
                <c:formatCode>General</c:formatCode>
                <c:ptCount val="4"/>
                <c:pt idx="0">
                  <c:v>15782.92</c:v>
                </c:pt>
                <c:pt idx="1">
                  <c:v>858.72</c:v>
                </c:pt>
                <c:pt idx="2">
                  <c:v>6264.68</c:v>
                </c:pt>
                <c:pt idx="3">
                  <c:v>175.12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48-4041-B8E7-F6DB0C15BEA3}"/>
            </c:ext>
          </c:extLst>
        </c:ser>
        <c:ser>
          <c:idx val="2"/>
          <c:order val="2"/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'Ashok Leyland'!$AK$5:$AK$8</c:f>
              <c:strCache>
                <c:ptCount val="4"/>
                <c:pt idx="0">
                  <c:v>Total Shareholder's Funds</c:v>
                </c:pt>
                <c:pt idx="1">
                  <c:v>Total Debt</c:v>
                </c:pt>
                <c:pt idx="2">
                  <c:v>Fixed Assets</c:v>
                </c:pt>
                <c:pt idx="3">
                  <c:v>Cash and Cash Equivalents</c:v>
                </c:pt>
              </c:strCache>
            </c:strRef>
          </c:cat>
          <c:val>
            <c:numRef>
              <c:f>'Ashok Leyland'!$AN$5:$AN$8</c:f>
              <c:numCache>
                <c:formatCode>General</c:formatCode>
                <c:ptCount val="4"/>
                <c:pt idx="0">
                  <c:v>16705.09</c:v>
                </c:pt>
                <c:pt idx="1">
                  <c:v>934.07</c:v>
                </c:pt>
                <c:pt idx="2">
                  <c:v>6225.21</c:v>
                </c:pt>
                <c:pt idx="3">
                  <c:v>345.5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E48-4041-B8E7-F6DB0C15BE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49324816"/>
        <c:axId val="749325144"/>
        <c:extLst/>
      </c:barChart>
      <c:catAx>
        <c:axId val="7493248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Particulars (2022-2023)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9325144"/>
        <c:crosses val="autoZero"/>
        <c:auto val="1"/>
        <c:lblAlgn val="ctr"/>
        <c:lblOffset val="100"/>
        <c:noMultiLvlLbl val="0"/>
      </c:catAx>
      <c:valAx>
        <c:axId val="74932514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Amount</a:t>
                </a:r>
                <a:r>
                  <a:rPr lang="en-US" baseline="0"/>
                  <a:t> (in Cr.)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2.2222222222222223E-2"/>
              <c:y val="0.2993554972295130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9324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28575" cap="flat" cmpd="sng" algn="ctr">
      <a:solidFill>
        <a:schemeClr val="accent5">
          <a:lumMod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Comparative Statement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'Ashok Leyland'!$AR$5:$AR$8</c:f>
              <c:strCache>
                <c:ptCount val="4"/>
                <c:pt idx="0">
                  <c:v>Total Shareholder's Funds</c:v>
                </c:pt>
                <c:pt idx="1">
                  <c:v>Total Debt</c:v>
                </c:pt>
                <c:pt idx="2">
                  <c:v>Fixed Assets</c:v>
                </c:pt>
                <c:pt idx="3">
                  <c:v>Cash and Cash Equivalents</c:v>
                </c:pt>
              </c:strCache>
            </c:strRef>
          </c:cat>
          <c:val>
            <c:numRef>
              <c:f>'Ashok Leyland'!$AS$5:$AS$8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D6CC-4932-BD6A-3920CF98B034}"/>
            </c:ext>
          </c:extLst>
        </c:ser>
        <c:ser>
          <c:idx val="1"/>
          <c:order val="1"/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'Ashok Leyland'!$AR$5:$AR$8</c:f>
              <c:strCache>
                <c:ptCount val="4"/>
                <c:pt idx="0">
                  <c:v>Total Shareholder's Funds</c:v>
                </c:pt>
                <c:pt idx="1">
                  <c:v>Total Debt</c:v>
                </c:pt>
                <c:pt idx="2">
                  <c:v>Fixed Assets</c:v>
                </c:pt>
                <c:pt idx="3">
                  <c:v>Cash and Cash Equivalents</c:v>
                </c:pt>
              </c:strCache>
            </c:strRef>
          </c:cat>
          <c:val>
            <c:numRef>
              <c:f>'Ashok Leyland'!$AT$5:$AT$8</c:f>
              <c:numCache>
                <c:formatCode>General</c:formatCode>
                <c:ptCount val="4"/>
                <c:pt idx="0">
                  <c:v>54086</c:v>
                </c:pt>
                <c:pt idx="1">
                  <c:v>2294.6</c:v>
                </c:pt>
                <c:pt idx="2">
                  <c:v>16646.7</c:v>
                </c:pt>
                <c:pt idx="3">
                  <c:v>3036.2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CC-4932-BD6A-3920CF98B034}"/>
            </c:ext>
          </c:extLst>
        </c:ser>
        <c:ser>
          <c:idx val="2"/>
          <c:order val="2"/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'Ashok Leyland'!$AR$5:$AR$8</c:f>
              <c:strCache>
                <c:ptCount val="4"/>
                <c:pt idx="0">
                  <c:v>Total Shareholder's Funds</c:v>
                </c:pt>
                <c:pt idx="1">
                  <c:v>Total Debt</c:v>
                </c:pt>
                <c:pt idx="2">
                  <c:v>Fixed Assets</c:v>
                </c:pt>
                <c:pt idx="3">
                  <c:v>Cash and Cash Equivalents</c:v>
                </c:pt>
              </c:strCache>
            </c:strRef>
          </c:cat>
          <c:val>
            <c:numRef>
              <c:f>'Ashok Leyland'!$AU$5:$AU$8</c:f>
              <c:numCache>
                <c:formatCode>General</c:formatCode>
                <c:ptCount val="4"/>
                <c:pt idx="0">
                  <c:v>60382</c:v>
                </c:pt>
                <c:pt idx="1">
                  <c:v>2697.4</c:v>
                </c:pt>
                <c:pt idx="2">
                  <c:v>20701.900000000001</c:v>
                </c:pt>
                <c:pt idx="3">
                  <c:v>37.700000000000003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CC-4932-BD6A-3920CF98B0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49324816"/>
        <c:axId val="749325144"/>
        <c:extLst/>
      </c:barChart>
      <c:catAx>
        <c:axId val="7493248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Particulars (2022-2023)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9325144"/>
        <c:crosses val="autoZero"/>
        <c:auto val="1"/>
        <c:lblAlgn val="ctr"/>
        <c:lblOffset val="100"/>
        <c:noMultiLvlLbl val="0"/>
      </c:catAx>
      <c:valAx>
        <c:axId val="74932514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Amount</a:t>
                </a:r>
                <a:r>
                  <a:rPr lang="en-US" baseline="0"/>
                  <a:t> (in Cr.)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2.2222222222222223E-2"/>
              <c:y val="0.2993554972295130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9324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28575" cap="flat" cmpd="sng" algn="ctr">
      <a:solidFill>
        <a:schemeClr val="accent5">
          <a:lumMod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Comparative Statement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'Ashok Leyland'!$AY$5:$AY$8</c:f>
              <c:strCache>
                <c:ptCount val="4"/>
                <c:pt idx="0">
                  <c:v>Total Shareholder's Funds</c:v>
                </c:pt>
                <c:pt idx="1">
                  <c:v>Total Debt</c:v>
                </c:pt>
                <c:pt idx="2">
                  <c:v>Fixed Assets</c:v>
                </c:pt>
                <c:pt idx="3">
                  <c:v>Cash and Cash Equivalents</c:v>
                </c:pt>
              </c:strCache>
            </c:strRef>
          </c:cat>
          <c:val>
            <c:numRef>
              <c:f>'Ashok Leyland'!$AZ$5:$AZ$8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B22-4E15-9D85-B0A57CCE886B}"/>
            </c:ext>
          </c:extLst>
        </c:ser>
        <c:ser>
          <c:idx val="1"/>
          <c:order val="1"/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'Ashok Leyland'!$AY$5:$AY$8</c:f>
              <c:strCache>
                <c:ptCount val="4"/>
                <c:pt idx="0">
                  <c:v>Total Shareholder's Funds</c:v>
                </c:pt>
                <c:pt idx="1">
                  <c:v>Total Debt</c:v>
                </c:pt>
                <c:pt idx="2">
                  <c:v>Fixed Assets</c:v>
                </c:pt>
                <c:pt idx="3">
                  <c:v>Cash and Cash Equivalents</c:v>
                </c:pt>
              </c:strCache>
            </c:strRef>
          </c:cat>
          <c:val>
            <c:numRef>
              <c:f>'Ashok Leyland'!$BA$5:$BA$8</c:f>
              <c:numCache>
                <c:formatCode>General</c:formatCode>
                <c:ptCount val="4"/>
                <c:pt idx="0">
                  <c:v>19937.759999999998</c:v>
                </c:pt>
                <c:pt idx="1">
                  <c:v>16962.91</c:v>
                </c:pt>
                <c:pt idx="2">
                  <c:v>15543</c:v>
                </c:pt>
                <c:pt idx="3">
                  <c:v>2605.4299999999998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22-4E15-9D85-B0A57CCE886B}"/>
            </c:ext>
          </c:extLst>
        </c:ser>
        <c:ser>
          <c:idx val="2"/>
          <c:order val="2"/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'Ashok Leyland'!$AY$5:$AY$8</c:f>
              <c:strCache>
                <c:ptCount val="4"/>
                <c:pt idx="0">
                  <c:v>Total Shareholder's Funds</c:v>
                </c:pt>
                <c:pt idx="1">
                  <c:v>Total Debt</c:v>
                </c:pt>
                <c:pt idx="2">
                  <c:v>Fixed Assets</c:v>
                </c:pt>
                <c:pt idx="3">
                  <c:v>Cash and Cash Equivalents</c:v>
                </c:pt>
              </c:strCache>
            </c:strRef>
          </c:cat>
          <c:val>
            <c:numRef>
              <c:f>'Ashok Leyland'!$BB$5:$BB$8</c:f>
              <c:numCache>
                <c:formatCode>General</c:formatCode>
                <c:ptCount val="4"/>
                <c:pt idx="0">
                  <c:v>22467.39</c:v>
                </c:pt>
                <c:pt idx="1">
                  <c:v>13497.39</c:v>
                </c:pt>
                <c:pt idx="2">
                  <c:v>15627.27</c:v>
                </c:pt>
                <c:pt idx="3">
                  <c:v>1414.65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B22-4E15-9D85-B0A57CCE88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49324816"/>
        <c:axId val="749325144"/>
        <c:extLst/>
      </c:barChart>
      <c:catAx>
        <c:axId val="7493248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Particulars (2022-2023)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9325144"/>
        <c:crosses val="autoZero"/>
        <c:auto val="1"/>
        <c:lblAlgn val="ctr"/>
        <c:lblOffset val="100"/>
        <c:noMultiLvlLbl val="0"/>
      </c:catAx>
      <c:valAx>
        <c:axId val="74932514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Amount</a:t>
                </a:r>
                <a:r>
                  <a:rPr lang="en-US" baseline="0"/>
                  <a:t> (in Cr.)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2.2222222222222223E-2"/>
              <c:y val="0.2993554972295130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9324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28575" cap="flat" cmpd="sng" algn="ctr">
      <a:solidFill>
        <a:schemeClr val="accent5">
          <a:lumMod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Comparative Statement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'Ashok Leyland'!$BF$5:$BF$8</c:f>
              <c:strCache>
                <c:ptCount val="4"/>
                <c:pt idx="0">
                  <c:v>Total Shareholder's Funds</c:v>
                </c:pt>
                <c:pt idx="1">
                  <c:v>Total Debt</c:v>
                </c:pt>
                <c:pt idx="2">
                  <c:v>Fixed Assets</c:v>
                </c:pt>
                <c:pt idx="3">
                  <c:v>Cash and Cash Equivalents</c:v>
                </c:pt>
              </c:strCache>
            </c:strRef>
          </c:cat>
          <c:val>
            <c:numRef>
              <c:f>'Ashok Leyland'!$BG$5:$BG$8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7A12-4345-8DDD-C2085D38D123}"/>
            </c:ext>
          </c:extLst>
        </c:ser>
        <c:ser>
          <c:idx val="1"/>
          <c:order val="1"/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'Ashok Leyland'!$BF$5:$BF$8</c:f>
              <c:strCache>
                <c:ptCount val="4"/>
                <c:pt idx="0">
                  <c:v>Total Shareholder's Funds</c:v>
                </c:pt>
                <c:pt idx="1">
                  <c:v>Total Debt</c:v>
                </c:pt>
                <c:pt idx="2">
                  <c:v>Fixed Assets</c:v>
                </c:pt>
                <c:pt idx="3">
                  <c:v>Cash and Cash Equivalents</c:v>
                </c:pt>
              </c:strCache>
            </c:strRef>
          </c:cat>
          <c:val>
            <c:numRef>
              <c:f>'Ashok Leyland'!$BH$5:$BH$8</c:f>
              <c:numCache>
                <c:formatCode>General</c:formatCode>
                <c:ptCount val="4"/>
                <c:pt idx="0">
                  <c:v>4822.04</c:v>
                </c:pt>
                <c:pt idx="1">
                  <c:v>1839.19</c:v>
                </c:pt>
                <c:pt idx="2">
                  <c:v>3731.1</c:v>
                </c:pt>
                <c:pt idx="3">
                  <c:v>401.29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A12-4345-8DDD-C2085D38D123}"/>
            </c:ext>
          </c:extLst>
        </c:ser>
        <c:ser>
          <c:idx val="2"/>
          <c:order val="2"/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'Ashok Leyland'!$BF$5:$BF$8</c:f>
              <c:strCache>
                <c:ptCount val="4"/>
                <c:pt idx="0">
                  <c:v>Total Shareholder's Funds</c:v>
                </c:pt>
                <c:pt idx="1">
                  <c:v>Total Debt</c:v>
                </c:pt>
                <c:pt idx="2">
                  <c:v>Fixed Assets</c:v>
                </c:pt>
                <c:pt idx="3">
                  <c:v>Cash and Cash Equivalents</c:v>
                </c:pt>
              </c:strCache>
            </c:strRef>
          </c:cat>
          <c:val>
            <c:numRef>
              <c:f>'Ashok Leyland'!$BI$5:$BI$8</c:f>
              <c:numCache>
                <c:formatCode>General</c:formatCode>
                <c:ptCount val="4"/>
                <c:pt idx="0">
                  <c:v>6047.85</c:v>
                </c:pt>
                <c:pt idx="1">
                  <c:v>1936</c:v>
                </c:pt>
                <c:pt idx="2">
                  <c:v>4223.62</c:v>
                </c:pt>
                <c:pt idx="3">
                  <c:v>241.96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A12-4345-8DDD-C2085D38D1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49324816"/>
        <c:axId val="749325144"/>
        <c:extLst/>
      </c:barChart>
      <c:catAx>
        <c:axId val="7493248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Particulars (2022-2023)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9325144"/>
        <c:crosses val="autoZero"/>
        <c:auto val="1"/>
        <c:lblAlgn val="ctr"/>
        <c:lblOffset val="100"/>
        <c:noMultiLvlLbl val="0"/>
      </c:catAx>
      <c:valAx>
        <c:axId val="74932514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Amount</a:t>
                </a:r>
                <a:r>
                  <a:rPr lang="en-US" baseline="0"/>
                  <a:t> (in Cr.)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2.2222222222222223E-2"/>
              <c:y val="0.2993554972295130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9324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28575" cap="flat" cmpd="sng" algn="ctr">
      <a:solidFill>
        <a:schemeClr val="accent5">
          <a:lumMod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Nifty Auto Index Prediction (Next 3 Months)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NiftyAuto!$B$1</c:f>
              <c:strCache>
                <c:ptCount val="1"/>
                <c:pt idx="0">
                  <c:v>Close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NiftyAuto!$A$2:$A$91</c:f>
              <c:strCache>
                <c:ptCount val="90"/>
                <c:pt idx="0">
                  <c:v>24/02/24</c:v>
                </c:pt>
                <c:pt idx="1">
                  <c:v>25/02/24</c:v>
                </c:pt>
                <c:pt idx="2">
                  <c:v>26/02/24</c:v>
                </c:pt>
                <c:pt idx="3">
                  <c:v>27/02/24</c:v>
                </c:pt>
                <c:pt idx="4">
                  <c:v>28/02/24</c:v>
                </c:pt>
                <c:pt idx="5">
                  <c:v>29/02/24</c:v>
                </c:pt>
                <c:pt idx="6">
                  <c:v>1/3/2024</c:v>
                </c:pt>
                <c:pt idx="7">
                  <c:v>2/3/2024</c:v>
                </c:pt>
                <c:pt idx="8">
                  <c:v>3/3/2024</c:v>
                </c:pt>
                <c:pt idx="9">
                  <c:v>4/3/2024</c:v>
                </c:pt>
                <c:pt idx="10">
                  <c:v>5/3/2024</c:v>
                </c:pt>
                <c:pt idx="11">
                  <c:v>6/3/2024</c:v>
                </c:pt>
                <c:pt idx="12">
                  <c:v>7/3/2024</c:v>
                </c:pt>
                <c:pt idx="13">
                  <c:v>8/3/2024</c:v>
                </c:pt>
                <c:pt idx="14">
                  <c:v>9/3/2024</c:v>
                </c:pt>
                <c:pt idx="15">
                  <c:v>10/3/2024</c:v>
                </c:pt>
                <c:pt idx="16">
                  <c:v>11/3/2024</c:v>
                </c:pt>
                <c:pt idx="17">
                  <c:v>12/3/2024</c:v>
                </c:pt>
                <c:pt idx="18">
                  <c:v>13/03/24</c:v>
                </c:pt>
                <c:pt idx="19">
                  <c:v>14/03/24</c:v>
                </c:pt>
                <c:pt idx="20">
                  <c:v>15/03/24</c:v>
                </c:pt>
                <c:pt idx="21">
                  <c:v>16/03/24</c:v>
                </c:pt>
                <c:pt idx="22">
                  <c:v>17/03/24</c:v>
                </c:pt>
                <c:pt idx="23">
                  <c:v>18/03/24</c:v>
                </c:pt>
                <c:pt idx="24">
                  <c:v>19/03/24</c:v>
                </c:pt>
                <c:pt idx="25">
                  <c:v>20/03/24</c:v>
                </c:pt>
                <c:pt idx="26">
                  <c:v>21/03/24</c:v>
                </c:pt>
                <c:pt idx="27">
                  <c:v>22/03/24</c:v>
                </c:pt>
                <c:pt idx="28">
                  <c:v>23/03/24</c:v>
                </c:pt>
                <c:pt idx="29">
                  <c:v>24/03/24</c:v>
                </c:pt>
                <c:pt idx="30">
                  <c:v>25/03/24</c:v>
                </c:pt>
                <c:pt idx="31">
                  <c:v>26/03/24</c:v>
                </c:pt>
                <c:pt idx="32">
                  <c:v>27/03/24</c:v>
                </c:pt>
                <c:pt idx="33">
                  <c:v>28/03/24</c:v>
                </c:pt>
                <c:pt idx="34">
                  <c:v>29/03/24</c:v>
                </c:pt>
                <c:pt idx="35">
                  <c:v>30/03/24</c:v>
                </c:pt>
                <c:pt idx="36">
                  <c:v>31/03/24</c:v>
                </c:pt>
                <c:pt idx="37">
                  <c:v>1/4/2024</c:v>
                </c:pt>
                <c:pt idx="38">
                  <c:v>2/4/2024</c:v>
                </c:pt>
                <c:pt idx="39">
                  <c:v>3/4/2024</c:v>
                </c:pt>
                <c:pt idx="40">
                  <c:v>4/4/2024</c:v>
                </c:pt>
                <c:pt idx="41">
                  <c:v>5/4/2024</c:v>
                </c:pt>
                <c:pt idx="42">
                  <c:v>6/4/2024</c:v>
                </c:pt>
                <c:pt idx="43">
                  <c:v>7/4/2024</c:v>
                </c:pt>
                <c:pt idx="44">
                  <c:v>8/4/2024</c:v>
                </c:pt>
                <c:pt idx="45">
                  <c:v>9/4/2024</c:v>
                </c:pt>
                <c:pt idx="46">
                  <c:v>10/4/2024</c:v>
                </c:pt>
                <c:pt idx="47">
                  <c:v>11/4/2024</c:v>
                </c:pt>
                <c:pt idx="48">
                  <c:v>12/4/2024</c:v>
                </c:pt>
                <c:pt idx="49">
                  <c:v>13/04/24</c:v>
                </c:pt>
                <c:pt idx="50">
                  <c:v>14/04/24</c:v>
                </c:pt>
                <c:pt idx="51">
                  <c:v>15/04/24</c:v>
                </c:pt>
                <c:pt idx="52">
                  <c:v>16/04/24</c:v>
                </c:pt>
                <c:pt idx="53">
                  <c:v>17/04/24</c:v>
                </c:pt>
                <c:pt idx="54">
                  <c:v>18/04/24</c:v>
                </c:pt>
                <c:pt idx="55">
                  <c:v>19/04/24</c:v>
                </c:pt>
                <c:pt idx="56">
                  <c:v>20/04/24</c:v>
                </c:pt>
                <c:pt idx="57">
                  <c:v>21/04/24</c:v>
                </c:pt>
                <c:pt idx="58">
                  <c:v>22/04/24</c:v>
                </c:pt>
                <c:pt idx="59">
                  <c:v>23/04/24</c:v>
                </c:pt>
                <c:pt idx="60">
                  <c:v>24/04/24</c:v>
                </c:pt>
                <c:pt idx="61">
                  <c:v>25/04/24</c:v>
                </c:pt>
                <c:pt idx="62">
                  <c:v>26/04/24</c:v>
                </c:pt>
                <c:pt idx="63">
                  <c:v>27/04/24</c:v>
                </c:pt>
                <c:pt idx="64">
                  <c:v>28/04/24</c:v>
                </c:pt>
                <c:pt idx="65">
                  <c:v>29/04/24</c:v>
                </c:pt>
                <c:pt idx="66">
                  <c:v>30/04/24</c:v>
                </c:pt>
                <c:pt idx="67">
                  <c:v>1/5/2024</c:v>
                </c:pt>
                <c:pt idx="68">
                  <c:v>2/5/2024</c:v>
                </c:pt>
                <c:pt idx="69">
                  <c:v>3/5/2024</c:v>
                </c:pt>
                <c:pt idx="70">
                  <c:v>4/5/2024</c:v>
                </c:pt>
                <c:pt idx="71">
                  <c:v>5/5/2024</c:v>
                </c:pt>
                <c:pt idx="72">
                  <c:v>6/5/2024</c:v>
                </c:pt>
                <c:pt idx="73">
                  <c:v>7/5/2024</c:v>
                </c:pt>
                <c:pt idx="74">
                  <c:v>8/5/2024</c:v>
                </c:pt>
                <c:pt idx="75">
                  <c:v>9/5/2024</c:v>
                </c:pt>
                <c:pt idx="76">
                  <c:v>10/5/2024</c:v>
                </c:pt>
                <c:pt idx="77">
                  <c:v>11/5/2024</c:v>
                </c:pt>
                <c:pt idx="78">
                  <c:v>12/5/2024</c:v>
                </c:pt>
                <c:pt idx="79">
                  <c:v>13/05/24</c:v>
                </c:pt>
                <c:pt idx="80">
                  <c:v>14/05/24</c:v>
                </c:pt>
                <c:pt idx="81">
                  <c:v>15/05/24</c:v>
                </c:pt>
                <c:pt idx="82">
                  <c:v>16/05/24</c:v>
                </c:pt>
                <c:pt idx="83">
                  <c:v>17/05/24</c:v>
                </c:pt>
                <c:pt idx="84">
                  <c:v>18/05/24</c:v>
                </c:pt>
                <c:pt idx="85">
                  <c:v>19/05/24</c:v>
                </c:pt>
                <c:pt idx="86">
                  <c:v>20/05/24</c:v>
                </c:pt>
                <c:pt idx="87">
                  <c:v>21/05/24</c:v>
                </c:pt>
                <c:pt idx="88">
                  <c:v>22/05/24</c:v>
                </c:pt>
                <c:pt idx="89">
                  <c:v>23/05/24</c:v>
                </c:pt>
              </c:strCache>
            </c:strRef>
          </c:cat>
          <c:val>
            <c:numRef>
              <c:f>NiftyAuto!$B$2:$B$91</c:f>
              <c:numCache>
                <c:formatCode>General</c:formatCode>
                <c:ptCount val="90"/>
                <c:pt idx="0">
                  <c:v>3525.3767779999998</c:v>
                </c:pt>
                <c:pt idx="1">
                  <c:v>3519.514588</c:v>
                </c:pt>
                <c:pt idx="2">
                  <c:v>3513.9371970000002</c:v>
                </c:pt>
                <c:pt idx="3">
                  <c:v>3508.3779880000002</c:v>
                </c:pt>
                <c:pt idx="4">
                  <c:v>3502.8199399999999</c:v>
                </c:pt>
                <c:pt idx="5">
                  <c:v>3497.261966</c:v>
                </c:pt>
                <c:pt idx="6">
                  <c:v>3491.7039960000002</c:v>
                </c:pt>
                <c:pt idx="7">
                  <c:v>3486.1460269999998</c:v>
                </c:pt>
                <c:pt idx="8">
                  <c:v>3480.5880579999998</c:v>
                </c:pt>
                <c:pt idx="9">
                  <c:v>3475.0300889999999</c:v>
                </c:pt>
                <c:pt idx="10">
                  <c:v>3469.4721199999999</c:v>
                </c:pt>
                <c:pt idx="11">
                  <c:v>3463.9141509999999</c:v>
                </c:pt>
                <c:pt idx="12">
                  <c:v>3458.3561810000001</c:v>
                </c:pt>
                <c:pt idx="13">
                  <c:v>3452.7982120000001</c:v>
                </c:pt>
                <c:pt idx="14">
                  <c:v>3447.2402430000002</c:v>
                </c:pt>
                <c:pt idx="15">
                  <c:v>3441.6822739999998</c:v>
                </c:pt>
                <c:pt idx="16">
                  <c:v>3436.1243049999998</c:v>
                </c:pt>
                <c:pt idx="17">
                  <c:v>3430.5663359999999</c:v>
                </c:pt>
                <c:pt idx="18">
                  <c:v>3425.0083669999999</c:v>
                </c:pt>
                <c:pt idx="19">
                  <c:v>3419.4503970000001</c:v>
                </c:pt>
                <c:pt idx="20">
                  <c:v>3413.8924280000001</c:v>
                </c:pt>
                <c:pt idx="21">
                  <c:v>3408.3344590000002</c:v>
                </c:pt>
                <c:pt idx="22">
                  <c:v>3402.7764900000002</c:v>
                </c:pt>
                <c:pt idx="23">
                  <c:v>3397.2185209999998</c:v>
                </c:pt>
                <c:pt idx="24">
                  <c:v>3391.6605519999998</c:v>
                </c:pt>
                <c:pt idx="25">
                  <c:v>3386.1025829999999</c:v>
                </c:pt>
                <c:pt idx="26">
                  <c:v>3380.544613</c:v>
                </c:pt>
                <c:pt idx="27">
                  <c:v>3374.9866440000001</c:v>
                </c:pt>
                <c:pt idx="28">
                  <c:v>3369.4286750000001</c:v>
                </c:pt>
                <c:pt idx="29">
                  <c:v>3363.8707060000002</c:v>
                </c:pt>
                <c:pt idx="30">
                  <c:v>3358.3127370000002</c:v>
                </c:pt>
                <c:pt idx="31">
                  <c:v>3352.7547679999998</c:v>
                </c:pt>
                <c:pt idx="32">
                  <c:v>3347.1967989999998</c:v>
                </c:pt>
                <c:pt idx="33">
                  <c:v>3341.638829</c:v>
                </c:pt>
                <c:pt idx="34">
                  <c:v>3336.08086</c:v>
                </c:pt>
                <c:pt idx="35">
                  <c:v>3330.5228910000001</c:v>
                </c:pt>
                <c:pt idx="36">
                  <c:v>3324.9649220000001</c:v>
                </c:pt>
                <c:pt idx="37">
                  <c:v>3319.4069530000002</c:v>
                </c:pt>
                <c:pt idx="38">
                  <c:v>3313.8489840000002</c:v>
                </c:pt>
                <c:pt idx="39">
                  <c:v>3308.2910149999998</c:v>
                </c:pt>
                <c:pt idx="40">
                  <c:v>3302.7330449999999</c:v>
                </c:pt>
                <c:pt idx="41">
                  <c:v>3297.175076</c:v>
                </c:pt>
                <c:pt idx="42">
                  <c:v>3291.617107</c:v>
                </c:pt>
                <c:pt idx="43">
                  <c:v>3286.0591380000001</c:v>
                </c:pt>
                <c:pt idx="44">
                  <c:v>3280.5011690000001</c:v>
                </c:pt>
                <c:pt idx="45">
                  <c:v>3274.9432000000002</c:v>
                </c:pt>
                <c:pt idx="46">
                  <c:v>3269.3852310000002</c:v>
                </c:pt>
                <c:pt idx="47">
                  <c:v>3263.8272609999999</c:v>
                </c:pt>
                <c:pt idx="48">
                  <c:v>3258.269292</c:v>
                </c:pt>
                <c:pt idx="49">
                  <c:v>3252.711323</c:v>
                </c:pt>
                <c:pt idx="50">
                  <c:v>3247.153354</c:v>
                </c:pt>
                <c:pt idx="51">
                  <c:v>3241.5953850000001</c:v>
                </c:pt>
                <c:pt idx="52">
                  <c:v>3236.0374160000001</c:v>
                </c:pt>
                <c:pt idx="53">
                  <c:v>3230.4794470000002</c:v>
                </c:pt>
                <c:pt idx="54">
                  <c:v>3224.9214769999999</c:v>
                </c:pt>
                <c:pt idx="55">
                  <c:v>3219.3635079999999</c:v>
                </c:pt>
                <c:pt idx="56">
                  <c:v>3213.805539</c:v>
                </c:pt>
                <c:pt idx="57">
                  <c:v>3208.24757</c:v>
                </c:pt>
                <c:pt idx="58">
                  <c:v>3202.689601</c:v>
                </c:pt>
                <c:pt idx="59">
                  <c:v>3197.1316320000001</c:v>
                </c:pt>
                <c:pt idx="60">
                  <c:v>3191.5736630000001</c:v>
                </c:pt>
                <c:pt idx="61">
                  <c:v>3186.0156929999998</c:v>
                </c:pt>
                <c:pt idx="62">
                  <c:v>3180.4577239999999</c:v>
                </c:pt>
                <c:pt idx="63">
                  <c:v>3174.8997549999999</c:v>
                </c:pt>
                <c:pt idx="64">
                  <c:v>3169.341786</c:v>
                </c:pt>
                <c:pt idx="65">
                  <c:v>3163.783817</c:v>
                </c:pt>
                <c:pt idx="66">
                  <c:v>3158.225848</c:v>
                </c:pt>
                <c:pt idx="67">
                  <c:v>3152.6678790000001</c:v>
                </c:pt>
                <c:pt idx="68">
                  <c:v>3147.1099089999998</c:v>
                </c:pt>
                <c:pt idx="69">
                  <c:v>3141.5519399999998</c:v>
                </c:pt>
                <c:pt idx="70">
                  <c:v>3135.9939709999999</c:v>
                </c:pt>
                <c:pt idx="71">
                  <c:v>3130.4360019999999</c:v>
                </c:pt>
                <c:pt idx="72">
                  <c:v>3124.878033</c:v>
                </c:pt>
                <c:pt idx="73">
                  <c:v>3119.320064</c:v>
                </c:pt>
                <c:pt idx="74">
                  <c:v>3113.762095</c:v>
                </c:pt>
                <c:pt idx="75">
                  <c:v>3108.2041250000002</c:v>
                </c:pt>
                <c:pt idx="76">
                  <c:v>3102.6461559999998</c:v>
                </c:pt>
                <c:pt idx="77">
                  <c:v>3097.0881869999998</c:v>
                </c:pt>
                <c:pt idx="78">
                  <c:v>3091.5302179999999</c:v>
                </c:pt>
                <c:pt idx="79">
                  <c:v>3085.9722489999999</c:v>
                </c:pt>
                <c:pt idx="80">
                  <c:v>3080.41428</c:v>
                </c:pt>
                <c:pt idx="81">
                  <c:v>3074.8563100000001</c:v>
                </c:pt>
                <c:pt idx="82">
                  <c:v>3069.2983410000002</c:v>
                </c:pt>
                <c:pt idx="83">
                  <c:v>3063.7403720000002</c:v>
                </c:pt>
                <c:pt idx="84">
                  <c:v>3058.1824029999998</c:v>
                </c:pt>
                <c:pt idx="85">
                  <c:v>3052.6244339999998</c:v>
                </c:pt>
                <c:pt idx="86">
                  <c:v>3047.0664649999999</c:v>
                </c:pt>
                <c:pt idx="87">
                  <c:v>3041.5084959999999</c:v>
                </c:pt>
                <c:pt idx="88">
                  <c:v>3035.9505260000001</c:v>
                </c:pt>
                <c:pt idx="89">
                  <c:v>3030.3925570000001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26-4F52-A24E-F5DE8091CC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771340240"/>
        <c:axId val="771337288"/>
      </c:lineChart>
      <c:catAx>
        <c:axId val="771340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337288"/>
        <c:crosses val="autoZero"/>
        <c:auto val="1"/>
        <c:lblAlgn val="ctr"/>
        <c:lblOffset val="100"/>
        <c:noMultiLvlLbl val="0"/>
      </c:catAx>
      <c:valAx>
        <c:axId val="77133728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340240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1.jpeg"/><Relationship Id="rId1" Type="http://schemas.openxmlformats.org/officeDocument/2006/relationships/chart" Target="../charts/chart1.xml"/><Relationship Id="rId5" Type="http://schemas.openxmlformats.org/officeDocument/2006/relationships/chart" Target="../charts/chart2.xml"/><Relationship Id="rId4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5" Type="http://schemas.openxmlformats.org/officeDocument/2006/relationships/image" Target="../media/image6.jpeg"/><Relationship Id="rId4" Type="http://schemas.openxmlformats.org/officeDocument/2006/relationships/image" Target="../media/image5.em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7.jpeg"/><Relationship Id="rId1" Type="http://schemas.openxmlformats.org/officeDocument/2006/relationships/chart" Target="../charts/chart5.xml"/><Relationship Id="rId5" Type="http://schemas.openxmlformats.org/officeDocument/2006/relationships/image" Target="../media/image9.emf"/><Relationship Id="rId4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0.jpeg"/><Relationship Id="rId1" Type="http://schemas.openxmlformats.org/officeDocument/2006/relationships/chart" Target="../charts/chart7.xml"/><Relationship Id="rId5" Type="http://schemas.openxmlformats.org/officeDocument/2006/relationships/chart" Target="../charts/chart8.xml"/><Relationship Id="rId4" Type="http://schemas.openxmlformats.org/officeDocument/2006/relationships/image" Target="../media/image12.emf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image" Target="../media/image13.emf"/><Relationship Id="rId1" Type="http://schemas.openxmlformats.org/officeDocument/2006/relationships/chart" Target="../charts/chart9.xml"/><Relationship Id="rId5" Type="http://schemas.openxmlformats.org/officeDocument/2006/relationships/image" Target="../media/image15.jpeg"/><Relationship Id="rId4" Type="http://schemas.openxmlformats.org/officeDocument/2006/relationships/image" Target="../media/image14.emf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chart" Target="../charts/chart11.xml"/><Relationship Id="rId5" Type="http://schemas.openxmlformats.org/officeDocument/2006/relationships/image" Target="../media/image18.jpeg"/><Relationship Id="rId4" Type="http://schemas.openxmlformats.org/officeDocument/2006/relationships/chart" Target="../charts/chart12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5" Type="http://schemas.openxmlformats.org/officeDocument/2006/relationships/image" Target="../media/image21.jpeg"/><Relationship Id="rId4" Type="http://schemas.openxmlformats.org/officeDocument/2006/relationships/image" Target="../media/image20.emf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image" Target="../media/image22.emf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7" Type="http://schemas.openxmlformats.org/officeDocument/2006/relationships/chart" Target="../charts/chart22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6" Type="http://schemas.openxmlformats.org/officeDocument/2006/relationships/chart" Target="../charts/chart21.xml"/><Relationship Id="rId5" Type="http://schemas.openxmlformats.org/officeDocument/2006/relationships/chart" Target="../charts/chart20.xml"/><Relationship Id="rId4" Type="http://schemas.openxmlformats.org/officeDocument/2006/relationships/chart" Target="../charts/chart1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15119</xdr:colOff>
      <xdr:row>6</xdr:row>
      <xdr:rowOff>125648</xdr:rowOff>
    </xdr:from>
    <xdr:to>
      <xdr:col>9</xdr:col>
      <xdr:colOff>162872</xdr:colOff>
      <xdr:row>20</xdr:row>
      <xdr:rowOff>126008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562323</xdr:colOff>
      <xdr:row>7</xdr:row>
      <xdr:rowOff>124845</xdr:rowOff>
    </xdr:from>
    <xdr:to>
      <xdr:col>15</xdr:col>
      <xdr:colOff>353843</xdr:colOff>
      <xdr:row>19</xdr:row>
      <xdr:rowOff>82826</xdr:rowOff>
    </xdr:to>
    <xdr:pic>
      <xdr:nvPicPr>
        <xdr:cNvPr id="12" name="Picture 11" descr="Ashok Leyland Logo and symbol, meaning, history, PNG, brand">
          <a:extLst>
            <a:ext uri="{FF2B5EF4-FFF2-40B4-BE49-F238E27FC236}">
              <a16:creationId xmlns:a16="http://schemas.microsoft.com/office/drawing/2014/main" id="{036FBC3B-AE7F-48C0-9F2B-C7E7FA788A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28845" y="1477671"/>
          <a:ext cx="3435868" cy="227711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16</xdr:col>
      <xdr:colOff>215630</xdr:colOff>
      <xdr:row>7</xdr:row>
      <xdr:rowOff>100027</xdr:rowOff>
    </xdr:from>
    <xdr:to>
      <xdr:col>20</xdr:col>
      <xdr:colOff>416608</xdr:colOff>
      <xdr:row>9</xdr:row>
      <xdr:rowOff>122980</xdr:rowOff>
    </xdr:to>
    <xdr:sp macro="" textlink="">
      <xdr:nvSpPr>
        <xdr:cNvPr id="2" name="Flowchart: Alternate Process 1">
          <a:extLst>
            <a:ext uri="{FF2B5EF4-FFF2-40B4-BE49-F238E27FC236}">
              <a16:creationId xmlns:a16="http://schemas.microsoft.com/office/drawing/2014/main" id="{F5DE8FCD-05C6-49FE-B35D-DAFA5A40CD88}"/>
            </a:ext>
          </a:extLst>
        </xdr:cNvPr>
        <xdr:cNvSpPr/>
      </xdr:nvSpPr>
      <xdr:spPr>
        <a:xfrm>
          <a:off x="10041419" y="1415981"/>
          <a:ext cx="2657426" cy="398940"/>
        </a:xfrm>
        <a:prstGeom prst="flowChartAlternateProcess">
          <a:avLst/>
        </a:prstGeom>
        <a:solidFill>
          <a:schemeClr val="bg1"/>
        </a:solidFill>
        <a:ln w="28575"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>
              <a:solidFill>
                <a:sysClr val="windowText" lastClr="000000"/>
              </a:solidFill>
            </a:rPr>
            <a:t>OPERATING PROFIT</a:t>
          </a:r>
          <a:r>
            <a:rPr lang="en-US" sz="1600" baseline="0">
              <a:solidFill>
                <a:sysClr val="windowText" lastClr="000000"/>
              </a:solidFill>
            </a:rPr>
            <a:t> MARGIN</a:t>
          </a:r>
          <a:endParaRPr lang="en-US" sz="16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16</xdr:col>
      <xdr:colOff>230320</xdr:colOff>
      <xdr:row>18</xdr:row>
      <xdr:rowOff>21710</xdr:rowOff>
    </xdr:from>
    <xdr:to>
      <xdr:col>20</xdr:col>
      <xdr:colOff>431298</xdr:colOff>
      <xdr:row>20</xdr:row>
      <xdr:rowOff>44662</xdr:rowOff>
    </xdr:to>
    <xdr:sp macro="" textlink="">
      <xdr:nvSpPr>
        <xdr:cNvPr id="14" name="Flowchart: Alternate Process 13">
          <a:extLst>
            <a:ext uri="{FF2B5EF4-FFF2-40B4-BE49-F238E27FC236}">
              <a16:creationId xmlns:a16="http://schemas.microsoft.com/office/drawing/2014/main" id="{071CDC76-F2BA-4998-A91F-98A33612F92A}"/>
            </a:ext>
          </a:extLst>
        </xdr:cNvPr>
        <xdr:cNvSpPr/>
      </xdr:nvSpPr>
      <xdr:spPr>
        <a:xfrm>
          <a:off x="10056109" y="3405592"/>
          <a:ext cx="2657426" cy="398938"/>
        </a:xfrm>
        <a:prstGeom prst="flowChartAlternateProcess">
          <a:avLst/>
        </a:prstGeom>
        <a:solidFill>
          <a:schemeClr val="bg1"/>
        </a:solidFill>
        <a:ln w="28575"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>
              <a:solidFill>
                <a:sysClr val="windowText" lastClr="000000"/>
              </a:solidFill>
            </a:rPr>
            <a:t>CURRENT</a:t>
          </a:r>
          <a:r>
            <a:rPr lang="en-US" sz="1600" baseline="0">
              <a:solidFill>
                <a:sysClr val="windowText" lastClr="000000"/>
              </a:solidFill>
            </a:rPr>
            <a:t> RATIO</a:t>
          </a:r>
          <a:endParaRPr lang="en-US" sz="16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16</xdr:col>
      <xdr:colOff>222057</xdr:colOff>
      <xdr:row>14</xdr:row>
      <xdr:rowOff>94978</xdr:rowOff>
    </xdr:from>
    <xdr:to>
      <xdr:col>20</xdr:col>
      <xdr:colOff>423035</xdr:colOff>
      <xdr:row>16</xdr:row>
      <xdr:rowOff>117930</xdr:rowOff>
    </xdr:to>
    <xdr:sp macro="" textlink="">
      <xdr:nvSpPr>
        <xdr:cNvPr id="15" name="Flowchart: Alternate Process 14">
          <a:extLst>
            <a:ext uri="{FF2B5EF4-FFF2-40B4-BE49-F238E27FC236}">
              <a16:creationId xmlns:a16="http://schemas.microsoft.com/office/drawing/2014/main" id="{CBE488EA-C5B6-4DA8-BFB5-FBFE449FCB50}"/>
            </a:ext>
          </a:extLst>
        </xdr:cNvPr>
        <xdr:cNvSpPr/>
      </xdr:nvSpPr>
      <xdr:spPr>
        <a:xfrm>
          <a:off x="10047846" y="2726886"/>
          <a:ext cx="2657426" cy="398939"/>
        </a:xfrm>
        <a:prstGeom prst="flowChartAlternateProcess">
          <a:avLst/>
        </a:prstGeom>
        <a:solidFill>
          <a:schemeClr val="bg1"/>
        </a:solidFill>
        <a:ln w="28575"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>
              <a:solidFill>
                <a:sysClr val="windowText" lastClr="000000"/>
              </a:solidFill>
            </a:rPr>
            <a:t>ASSET</a:t>
          </a:r>
          <a:r>
            <a:rPr lang="en-US" sz="1600" baseline="0">
              <a:solidFill>
                <a:sysClr val="windowText" lastClr="000000"/>
              </a:solidFill>
            </a:rPr>
            <a:t> TURNOVER RATIO</a:t>
          </a:r>
          <a:endParaRPr lang="en-US" sz="16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16</xdr:col>
      <xdr:colOff>225270</xdr:colOff>
      <xdr:row>10</xdr:row>
      <xdr:rowOff>178522</xdr:rowOff>
    </xdr:from>
    <xdr:to>
      <xdr:col>20</xdr:col>
      <xdr:colOff>426248</xdr:colOff>
      <xdr:row>13</xdr:row>
      <xdr:rowOff>16661</xdr:rowOff>
    </xdr:to>
    <xdr:sp macro="" textlink="">
      <xdr:nvSpPr>
        <xdr:cNvPr id="16" name="Flowchart: Alternate Process 15">
          <a:extLst>
            <a:ext uri="{FF2B5EF4-FFF2-40B4-BE49-F238E27FC236}">
              <a16:creationId xmlns:a16="http://schemas.microsoft.com/office/drawing/2014/main" id="{FFC3E53E-45B2-40C1-B353-D1EB0173E108}"/>
            </a:ext>
          </a:extLst>
        </xdr:cNvPr>
        <xdr:cNvSpPr/>
      </xdr:nvSpPr>
      <xdr:spPr>
        <a:xfrm>
          <a:off x="10051059" y="2058456"/>
          <a:ext cx="2657426" cy="402119"/>
        </a:xfrm>
        <a:prstGeom prst="flowChartAlternateProcess">
          <a:avLst/>
        </a:prstGeom>
        <a:solidFill>
          <a:schemeClr val="bg1"/>
        </a:solidFill>
        <a:ln w="28575"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>
              <a:solidFill>
                <a:sysClr val="windowText" lastClr="000000"/>
              </a:solidFill>
            </a:rPr>
            <a:t>DEBT</a:t>
          </a:r>
          <a:r>
            <a:rPr lang="en-US" sz="1600" baseline="0">
              <a:solidFill>
                <a:sysClr val="windowText" lastClr="000000"/>
              </a:solidFill>
            </a:rPr>
            <a:t> TO EQUITY RATIO</a:t>
          </a:r>
          <a:endParaRPr lang="en-US" sz="16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20</xdr:col>
      <xdr:colOff>500152</xdr:colOff>
      <xdr:row>7</xdr:row>
      <xdr:rowOff>103240</xdr:rowOff>
    </xdr:from>
    <xdr:to>
      <xdr:col>22</xdr:col>
      <xdr:colOff>382180</xdr:colOff>
      <xdr:row>9</xdr:row>
      <xdr:rowOff>145931</xdr:rowOff>
    </xdr:to>
    <xdr:sp macro="" textlink="">
      <xdr:nvSpPr>
        <xdr:cNvPr id="17" name="Flowchart: Alternate Process 16">
          <a:extLst>
            <a:ext uri="{FF2B5EF4-FFF2-40B4-BE49-F238E27FC236}">
              <a16:creationId xmlns:a16="http://schemas.microsoft.com/office/drawing/2014/main" id="{8B6C3E6F-6CB6-48EC-A410-719025B914DF}"/>
            </a:ext>
          </a:extLst>
        </xdr:cNvPr>
        <xdr:cNvSpPr/>
      </xdr:nvSpPr>
      <xdr:spPr>
        <a:xfrm>
          <a:off x="12782389" y="1419194"/>
          <a:ext cx="1110252" cy="418678"/>
        </a:xfrm>
        <a:prstGeom prst="flowChartAlternateProcess">
          <a:avLst/>
        </a:prstGeom>
        <a:solidFill>
          <a:schemeClr val="bg1"/>
        </a:solidFill>
        <a:ln w="28575"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>
              <a:solidFill>
                <a:sysClr val="windowText" lastClr="000000"/>
              </a:solidFill>
            </a:rPr>
            <a:t>8.1%</a:t>
          </a:r>
        </a:p>
      </xdr:txBody>
    </xdr:sp>
    <xdr:clientData/>
  </xdr:twoCellAnchor>
  <xdr:twoCellAnchor>
    <xdr:from>
      <xdr:col>20</xdr:col>
      <xdr:colOff>503365</xdr:colOff>
      <xdr:row>10</xdr:row>
      <xdr:rowOff>163833</xdr:rowOff>
    </xdr:from>
    <xdr:to>
      <xdr:col>22</xdr:col>
      <xdr:colOff>385393</xdr:colOff>
      <xdr:row>13</xdr:row>
      <xdr:rowOff>21710</xdr:rowOff>
    </xdr:to>
    <xdr:sp macro="" textlink="">
      <xdr:nvSpPr>
        <xdr:cNvPr id="18" name="Flowchart: Alternate Process 17">
          <a:extLst>
            <a:ext uri="{FF2B5EF4-FFF2-40B4-BE49-F238E27FC236}">
              <a16:creationId xmlns:a16="http://schemas.microsoft.com/office/drawing/2014/main" id="{EF1220D8-A908-4229-AEE1-3399BC0F5265}"/>
            </a:ext>
          </a:extLst>
        </xdr:cNvPr>
        <xdr:cNvSpPr/>
      </xdr:nvSpPr>
      <xdr:spPr>
        <a:xfrm>
          <a:off x="12785602" y="2043767"/>
          <a:ext cx="1110252" cy="421857"/>
        </a:xfrm>
        <a:prstGeom prst="flowChartAlternateProcess">
          <a:avLst/>
        </a:prstGeom>
        <a:solidFill>
          <a:schemeClr val="bg1"/>
        </a:solidFill>
        <a:ln w="28575"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>
              <a:solidFill>
                <a:sysClr val="windowText" lastClr="000000"/>
              </a:solidFill>
            </a:rPr>
            <a:t>0.38:1</a:t>
          </a:r>
        </a:p>
      </xdr:txBody>
    </xdr:sp>
    <xdr:clientData/>
  </xdr:twoCellAnchor>
  <xdr:twoCellAnchor>
    <xdr:from>
      <xdr:col>20</xdr:col>
      <xdr:colOff>506579</xdr:colOff>
      <xdr:row>14</xdr:row>
      <xdr:rowOff>86715</xdr:rowOff>
    </xdr:from>
    <xdr:to>
      <xdr:col>22</xdr:col>
      <xdr:colOff>388607</xdr:colOff>
      <xdr:row>16</xdr:row>
      <xdr:rowOff>129405</xdr:rowOff>
    </xdr:to>
    <xdr:sp macro="" textlink="">
      <xdr:nvSpPr>
        <xdr:cNvPr id="19" name="Flowchart: Alternate Process 18">
          <a:extLst>
            <a:ext uri="{FF2B5EF4-FFF2-40B4-BE49-F238E27FC236}">
              <a16:creationId xmlns:a16="http://schemas.microsoft.com/office/drawing/2014/main" id="{EA8AD8EB-5797-4DA3-8B67-D91C375E3179}"/>
            </a:ext>
          </a:extLst>
        </xdr:cNvPr>
        <xdr:cNvSpPr/>
      </xdr:nvSpPr>
      <xdr:spPr>
        <a:xfrm>
          <a:off x="12788816" y="2718623"/>
          <a:ext cx="1110252" cy="418677"/>
        </a:xfrm>
        <a:prstGeom prst="flowChartAlternateProcess">
          <a:avLst/>
        </a:prstGeom>
        <a:solidFill>
          <a:schemeClr val="bg1"/>
        </a:solidFill>
        <a:ln w="28575"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>
              <a:solidFill>
                <a:sysClr val="windowText" lastClr="000000"/>
              </a:solidFill>
            </a:rPr>
            <a:t>3.22:1</a:t>
          </a:r>
        </a:p>
      </xdr:txBody>
    </xdr:sp>
    <xdr:clientData/>
  </xdr:twoCellAnchor>
  <xdr:twoCellAnchor>
    <xdr:from>
      <xdr:col>20</xdr:col>
      <xdr:colOff>521268</xdr:colOff>
      <xdr:row>18</xdr:row>
      <xdr:rowOff>18497</xdr:rowOff>
    </xdr:from>
    <xdr:to>
      <xdr:col>22</xdr:col>
      <xdr:colOff>403296</xdr:colOff>
      <xdr:row>20</xdr:row>
      <xdr:rowOff>28135</xdr:rowOff>
    </xdr:to>
    <xdr:sp macro="" textlink="">
      <xdr:nvSpPr>
        <xdr:cNvPr id="20" name="Flowchart: Alternate Process 19">
          <a:extLst>
            <a:ext uri="{FF2B5EF4-FFF2-40B4-BE49-F238E27FC236}">
              <a16:creationId xmlns:a16="http://schemas.microsoft.com/office/drawing/2014/main" id="{0196F64B-D510-477C-9EB8-A82ECDD2DF6A}"/>
            </a:ext>
          </a:extLst>
        </xdr:cNvPr>
        <xdr:cNvSpPr/>
      </xdr:nvSpPr>
      <xdr:spPr>
        <a:xfrm>
          <a:off x="12803505" y="3402379"/>
          <a:ext cx="1110252" cy="385624"/>
        </a:xfrm>
        <a:prstGeom prst="flowChartAlternateProcess">
          <a:avLst/>
        </a:prstGeom>
        <a:solidFill>
          <a:schemeClr val="bg1"/>
        </a:solidFill>
        <a:ln w="28575"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>
              <a:solidFill>
                <a:sysClr val="windowText" lastClr="000000"/>
              </a:solidFill>
            </a:rPr>
            <a:t>0.69:1</a:t>
          </a:r>
        </a:p>
      </xdr:txBody>
    </xdr:sp>
    <xdr:clientData/>
  </xdr:twoCellAnchor>
  <xdr:twoCellAnchor>
    <xdr:from>
      <xdr:col>0</xdr:col>
      <xdr:colOff>268273</xdr:colOff>
      <xdr:row>22</xdr:row>
      <xdr:rowOff>832</xdr:rowOff>
    </xdr:from>
    <xdr:to>
      <xdr:col>8</xdr:col>
      <xdr:colOff>375988</xdr:colOff>
      <xdr:row>36</xdr:row>
      <xdr:rowOff>25068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CF882A5-D73C-4411-A265-96A8EFA8CB25}"/>
            </a:ext>
          </a:extLst>
        </xdr:cNvPr>
        <xdr:cNvSpPr/>
      </xdr:nvSpPr>
      <xdr:spPr>
        <a:xfrm>
          <a:off x="268273" y="4136687"/>
          <a:ext cx="5020610" cy="2656144"/>
        </a:xfrm>
        <a:prstGeom prst="roundRect">
          <a:avLst/>
        </a:prstGeom>
        <a:solidFill>
          <a:sysClr val="window" lastClr="FFFFFF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  <a:p>
          <a:pPr algn="l"/>
          <a:endParaRPr lang="en-US" sz="1100"/>
        </a:p>
        <a:p>
          <a:pPr algn="l"/>
          <a:endParaRPr lang="en-US" sz="1100"/>
        </a:p>
        <a:p>
          <a:pPr algn="l"/>
          <a:endParaRPr lang="en-US" sz="1100"/>
        </a:p>
        <a:p>
          <a:pPr algn="ctr"/>
          <a:r>
            <a:rPr lang="en-US" sz="1800">
              <a:solidFill>
                <a:sysClr val="windowText" lastClr="000000"/>
              </a:solidFill>
            </a:rPr>
            <a:t>M-score = −4.84 + 0.92 × DSRI + 0.528 × GMI + 0.404 × AQI + 0.892 × SGI + 0.115 × DEPI −0.172 × SGAI + 4.679 × TATA − 0.327 × LVGI </a:t>
          </a:r>
        </a:p>
        <a:p>
          <a:pPr algn="ctr"/>
          <a:br>
            <a:rPr lang="en-US" sz="1800">
              <a:solidFill>
                <a:sysClr val="windowText" lastClr="000000"/>
              </a:solidFill>
            </a:rPr>
          </a:br>
          <a:endParaRPr lang="en-US" sz="1800">
            <a:solidFill>
              <a:sysClr val="windowText" lastClr="000000"/>
            </a:solidFill>
          </a:endParaRPr>
        </a:p>
        <a:p>
          <a:pPr algn="ctr"/>
          <a:endParaRPr lang="en-US" sz="1600">
            <a:solidFill>
              <a:sysClr val="windowText" lastClr="000000"/>
            </a:solidFill>
          </a:endParaRPr>
        </a:p>
        <a:p>
          <a:pPr algn="ctr"/>
          <a:endParaRPr lang="en-US" sz="1600">
            <a:solidFill>
              <a:sysClr val="windowText" lastClr="000000"/>
            </a:solidFill>
          </a:endParaRPr>
        </a:p>
      </xdr:txBody>
    </xdr:sp>
    <xdr:clientData/>
  </xdr:twoCellAnchor>
  <xdr:oneCellAnchor>
    <xdr:from>
      <xdr:col>0</xdr:col>
      <xdr:colOff>427393</xdr:colOff>
      <xdr:row>22</xdr:row>
      <xdr:rowOff>99907</xdr:rowOff>
    </xdr:from>
    <xdr:ext cx="4713214" cy="781111"/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C13FE9B6-B72E-4626-A137-8532B0CD8356}"/>
            </a:ext>
          </a:extLst>
        </xdr:cNvPr>
        <xdr:cNvSpPr/>
      </xdr:nvSpPr>
      <xdr:spPr>
        <a:xfrm>
          <a:off x="427393" y="4235762"/>
          <a:ext cx="4713214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44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BENEISH M - SCORE</a:t>
          </a:r>
        </a:p>
      </xdr:txBody>
    </xdr:sp>
    <xdr:clientData/>
  </xdr:oneCellAnchor>
  <xdr:oneCellAnchor>
    <xdr:from>
      <xdr:col>2</xdr:col>
      <xdr:colOff>341287</xdr:colOff>
      <xdr:row>30</xdr:row>
      <xdr:rowOff>127302</xdr:rowOff>
    </xdr:from>
    <xdr:ext cx="2349108" cy="937629"/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FF27AF6F-A575-49AD-9E46-754680D22571}"/>
            </a:ext>
          </a:extLst>
        </xdr:cNvPr>
        <xdr:cNvSpPr/>
      </xdr:nvSpPr>
      <xdr:spPr>
        <a:xfrm>
          <a:off x="1569511" y="5767105"/>
          <a:ext cx="2349108" cy="93762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-1.5686</a:t>
          </a:r>
        </a:p>
      </xdr:txBody>
    </xdr:sp>
    <xdr:clientData/>
  </xdr:oneCellAnchor>
  <xdr:twoCellAnchor editAs="oneCell">
    <xdr:from>
      <xdr:col>8</xdr:col>
      <xdr:colOff>513849</xdr:colOff>
      <xdr:row>21</xdr:row>
      <xdr:rowOff>137860</xdr:rowOff>
    </xdr:from>
    <xdr:to>
      <xdr:col>15</xdr:col>
      <xdr:colOff>463718</xdr:colOff>
      <xdr:row>28</xdr:row>
      <xdr:rowOff>37597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705294B3-9020-453A-BE46-70E1B66538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26744" y="4085722"/>
          <a:ext cx="4248652" cy="1215691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513849</xdr:colOff>
      <xdr:row>28</xdr:row>
      <xdr:rowOff>50131</xdr:rowOff>
    </xdr:from>
    <xdr:to>
      <xdr:col>15</xdr:col>
      <xdr:colOff>463718</xdr:colOff>
      <xdr:row>36</xdr:row>
      <xdr:rowOff>42642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988845BB-9BFF-4A4C-ADCE-9B83846BC5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26744" y="5313947"/>
          <a:ext cx="4248652" cy="1496458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15</xdr:col>
      <xdr:colOff>576514</xdr:colOff>
      <xdr:row>21</xdr:row>
      <xdr:rowOff>125329</xdr:rowOff>
    </xdr:from>
    <xdr:to>
      <xdr:col>23</xdr:col>
      <xdr:colOff>235620</xdr:colOff>
      <xdr:row>36</xdr:row>
      <xdr:rowOff>48628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8253DE82-EB10-4D13-B375-1467D5665E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96621</xdr:colOff>
      <xdr:row>0</xdr:row>
      <xdr:rowOff>138042</xdr:rowOff>
    </xdr:from>
    <xdr:to>
      <xdr:col>3</xdr:col>
      <xdr:colOff>358903</xdr:colOff>
      <xdr:row>5</xdr:row>
      <xdr:rowOff>41412</xdr:rowOff>
    </xdr:to>
    <xdr:sp macro="[0]!Ashok_Leyland" textlink="">
      <xdr:nvSpPr>
        <xdr:cNvPr id="39" name="Rectangle: Rounded Corners 38">
          <a:extLst>
            <a:ext uri="{FF2B5EF4-FFF2-40B4-BE49-F238E27FC236}">
              <a16:creationId xmlns:a16="http://schemas.microsoft.com/office/drawing/2014/main" id="{1FF9BBB9-3CA2-4E4B-9131-D8E52530B3CB}"/>
            </a:ext>
          </a:extLst>
        </xdr:cNvPr>
        <xdr:cNvSpPr/>
      </xdr:nvSpPr>
      <xdr:spPr>
        <a:xfrm>
          <a:off x="704012" y="138042"/>
          <a:ext cx="1477065" cy="869674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tx1">
                  <a:lumMod val="65000"/>
                  <a:lumOff val="35000"/>
                </a:schemeClr>
              </a:solidFill>
            </a:rPr>
            <a:t>Ashok Leyland</a:t>
          </a:r>
        </a:p>
      </xdr:txBody>
    </xdr:sp>
    <xdr:clientData/>
  </xdr:twoCellAnchor>
  <xdr:twoCellAnchor>
    <xdr:from>
      <xdr:col>3</xdr:col>
      <xdr:colOff>524556</xdr:colOff>
      <xdr:row>0</xdr:row>
      <xdr:rowOff>138042</xdr:rowOff>
    </xdr:from>
    <xdr:to>
      <xdr:col>6</xdr:col>
      <xdr:colOff>179447</xdr:colOff>
      <xdr:row>5</xdr:row>
      <xdr:rowOff>41412</xdr:rowOff>
    </xdr:to>
    <xdr:sp macro="[0]!Bajaj_Auto" textlink="">
      <xdr:nvSpPr>
        <xdr:cNvPr id="40" name="Rectangle: Rounded Corners 39">
          <a:extLst>
            <a:ext uri="{FF2B5EF4-FFF2-40B4-BE49-F238E27FC236}">
              <a16:creationId xmlns:a16="http://schemas.microsoft.com/office/drawing/2014/main" id="{53913D38-818E-43BD-90C6-D81FC77056B6}"/>
            </a:ext>
          </a:extLst>
        </xdr:cNvPr>
        <xdr:cNvSpPr/>
      </xdr:nvSpPr>
      <xdr:spPr>
        <a:xfrm>
          <a:off x="2346730" y="138042"/>
          <a:ext cx="1477065" cy="869674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>
                  <a:lumMod val="65000"/>
                  <a:lumOff val="35000"/>
                </a:schemeClr>
              </a:solidFill>
            </a:rPr>
            <a:t>Bajaj Auto</a:t>
          </a:r>
        </a:p>
      </xdr:txBody>
    </xdr:sp>
    <xdr:clientData/>
  </xdr:twoCellAnchor>
  <xdr:twoCellAnchor>
    <xdr:from>
      <xdr:col>6</xdr:col>
      <xdr:colOff>359456</xdr:colOff>
      <xdr:row>0</xdr:row>
      <xdr:rowOff>138594</xdr:rowOff>
    </xdr:from>
    <xdr:to>
      <xdr:col>9</xdr:col>
      <xdr:colOff>14347</xdr:colOff>
      <xdr:row>5</xdr:row>
      <xdr:rowOff>41964</xdr:rowOff>
    </xdr:to>
    <xdr:sp macro="[0]!Eicher_Motors" textlink="">
      <xdr:nvSpPr>
        <xdr:cNvPr id="41" name="Rectangle: Rounded Corners 40">
          <a:extLst>
            <a:ext uri="{FF2B5EF4-FFF2-40B4-BE49-F238E27FC236}">
              <a16:creationId xmlns:a16="http://schemas.microsoft.com/office/drawing/2014/main" id="{8EAB07A7-4359-404F-A6F4-8B14EDA8CC47}"/>
            </a:ext>
          </a:extLst>
        </xdr:cNvPr>
        <xdr:cNvSpPr/>
      </xdr:nvSpPr>
      <xdr:spPr>
        <a:xfrm>
          <a:off x="4003804" y="138594"/>
          <a:ext cx="1477065" cy="869674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>
                  <a:lumMod val="65000"/>
                  <a:lumOff val="35000"/>
                </a:schemeClr>
              </a:solidFill>
            </a:rPr>
            <a:t>Eicher Mototrs</a:t>
          </a:r>
        </a:p>
      </xdr:txBody>
    </xdr:sp>
    <xdr:clientData/>
  </xdr:twoCellAnchor>
  <xdr:twoCellAnchor>
    <xdr:from>
      <xdr:col>9</xdr:col>
      <xdr:colOff>166748</xdr:colOff>
      <xdr:row>0</xdr:row>
      <xdr:rowOff>139146</xdr:rowOff>
    </xdr:from>
    <xdr:to>
      <xdr:col>11</xdr:col>
      <xdr:colOff>429031</xdr:colOff>
      <xdr:row>5</xdr:row>
      <xdr:rowOff>42516</xdr:rowOff>
    </xdr:to>
    <xdr:sp macro="[0]!Hero_Motocorp" textlink="">
      <xdr:nvSpPr>
        <xdr:cNvPr id="42" name="Rectangle: Rounded Corners 41">
          <a:extLst>
            <a:ext uri="{FF2B5EF4-FFF2-40B4-BE49-F238E27FC236}">
              <a16:creationId xmlns:a16="http://schemas.microsoft.com/office/drawing/2014/main" id="{4EBC584A-3FEF-456B-B67B-058F18F6AD9D}"/>
            </a:ext>
          </a:extLst>
        </xdr:cNvPr>
        <xdr:cNvSpPr/>
      </xdr:nvSpPr>
      <xdr:spPr>
        <a:xfrm>
          <a:off x="5633270" y="139146"/>
          <a:ext cx="1477065" cy="869674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>
                  <a:lumMod val="65000"/>
                  <a:lumOff val="35000"/>
                </a:schemeClr>
              </a:solidFill>
            </a:rPr>
            <a:t>Hero Motocorp</a:t>
          </a:r>
        </a:p>
      </xdr:txBody>
    </xdr:sp>
    <xdr:clientData/>
  </xdr:twoCellAnchor>
  <xdr:twoCellAnchor>
    <xdr:from>
      <xdr:col>11</xdr:col>
      <xdr:colOff>581430</xdr:colOff>
      <xdr:row>0</xdr:row>
      <xdr:rowOff>153502</xdr:rowOff>
    </xdr:from>
    <xdr:to>
      <xdr:col>14</xdr:col>
      <xdr:colOff>236321</xdr:colOff>
      <xdr:row>5</xdr:row>
      <xdr:rowOff>56872</xdr:rowOff>
    </xdr:to>
    <xdr:sp macro="[0]!Maruti_Suzuki" textlink="">
      <xdr:nvSpPr>
        <xdr:cNvPr id="43" name="Rectangle: Rounded Corners 42">
          <a:extLst>
            <a:ext uri="{FF2B5EF4-FFF2-40B4-BE49-F238E27FC236}">
              <a16:creationId xmlns:a16="http://schemas.microsoft.com/office/drawing/2014/main" id="{E56A9807-AA51-4A5B-BD8C-0752800A069C}"/>
            </a:ext>
          </a:extLst>
        </xdr:cNvPr>
        <xdr:cNvSpPr/>
      </xdr:nvSpPr>
      <xdr:spPr>
        <a:xfrm>
          <a:off x="7262734" y="153502"/>
          <a:ext cx="1477065" cy="869674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>
                  <a:lumMod val="65000"/>
                  <a:lumOff val="35000"/>
                </a:schemeClr>
              </a:solidFill>
            </a:rPr>
            <a:t>Maruti Suzuki</a:t>
          </a:r>
        </a:p>
      </xdr:txBody>
    </xdr:sp>
    <xdr:clientData/>
  </xdr:twoCellAnchor>
  <xdr:twoCellAnchor>
    <xdr:from>
      <xdr:col>14</xdr:col>
      <xdr:colOff>402526</xdr:colOff>
      <xdr:row>0</xdr:row>
      <xdr:rowOff>140250</xdr:rowOff>
    </xdr:from>
    <xdr:to>
      <xdr:col>17</xdr:col>
      <xdr:colOff>57417</xdr:colOff>
      <xdr:row>5</xdr:row>
      <xdr:rowOff>43620</xdr:rowOff>
    </xdr:to>
    <xdr:sp macro="[0]!Tata_Motors" textlink="">
      <xdr:nvSpPr>
        <xdr:cNvPr id="44" name="Rectangle: Rounded Corners 43">
          <a:extLst>
            <a:ext uri="{FF2B5EF4-FFF2-40B4-BE49-F238E27FC236}">
              <a16:creationId xmlns:a16="http://schemas.microsoft.com/office/drawing/2014/main" id="{23DBB806-33A1-4C93-9801-00E623433D64}"/>
            </a:ext>
          </a:extLst>
        </xdr:cNvPr>
        <xdr:cNvSpPr/>
      </xdr:nvSpPr>
      <xdr:spPr>
        <a:xfrm>
          <a:off x="8906004" y="140250"/>
          <a:ext cx="1477065" cy="869674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>
                  <a:lumMod val="65000"/>
                  <a:lumOff val="35000"/>
                </a:schemeClr>
              </a:solidFill>
            </a:rPr>
            <a:t>Tata Motors</a:t>
          </a:r>
        </a:p>
      </xdr:txBody>
    </xdr:sp>
    <xdr:clientData/>
  </xdr:twoCellAnchor>
  <xdr:twoCellAnchor>
    <xdr:from>
      <xdr:col>17</xdr:col>
      <xdr:colOff>207056</xdr:colOff>
      <xdr:row>0</xdr:row>
      <xdr:rowOff>151848</xdr:rowOff>
    </xdr:from>
    <xdr:to>
      <xdr:col>19</xdr:col>
      <xdr:colOff>469338</xdr:colOff>
      <xdr:row>5</xdr:row>
      <xdr:rowOff>55218</xdr:rowOff>
    </xdr:to>
    <xdr:sp macro="[0]!TVS_Motors" textlink="">
      <xdr:nvSpPr>
        <xdr:cNvPr id="45" name="Rectangle: Rounded Corners 44">
          <a:extLst>
            <a:ext uri="{FF2B5EF4-FFF2-40B4-BE49-F238E27FC236}">
              <a16:creationId xmlns:a16="http://schemas.microsoft.com/office/drawing/2014/main" id="{840BB8EF-1941-4D40-B251-1037CD997B87}"/>
            </a:ext>
          </a:extLst>
        </xdr:cNvPr>
        <xdr:cNvSpPr/>
      </xdr:nvSpPr>
      <xdr:spPr>
        <a:xfrm>
          <a:off x="10532708" y="151848"/>
          <a:ext cx="1477065" cy="869674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>
                  <a:lumMod val="65000"/>
                  <a:lumOff val="35000"/>
                </a:schemeClr>
              </a:solidFill>
            </a:rPr>
            <a:t>TVS Motors</a:t>
          </a:r>
        </a:p>
      </xdr:txBody>
    </xdr:sp>
    <xdr:clientData/>
  </xdr:twoCellAnchor>
  <xdr:twoCellAnchor>
    <xdr:from>
      <xdr:col>20</xdr:col>
      <xdr:colOff>14345</xdr:colOff>
      <xdr:row>0</xdr:row>
      <xdr:rowOff>152399</xdr:rowOff>
    </xdr:from>
    <xdr:to>
      <xdr:col>22</xdr:col>
      <xdr:colOff>276627</xdr:colOff>
      <xdr:row>5</xdr:row>
      <xdr:rowOff>55769</xdr:rowOff>
    </xdr:to>
    <xdr:sp macro="[0]!Paytm_Nifty_Auto" textlink="">
      <xdr:nvSpPr>
        <xdr:cNvPr id="46" name="Rectangle: Rounded Corners 45">
          <a:extLst>
            <a:ext uri="{FF2B5EF4-FFF2-40B4-BE49-F238E27FC236}">
              <a16:creationId xmlns:a16="http://schemas.microsoft.com/office/drawing/2014/main" id="{B9D72FED-642D-4B06-90B0-68575AD777E5}"/>
            </a:ext>
          </a:extLst>
        </xdr:cNvPr>
        <xdr:cNvSpPr/>
      </xdr:nvSpPr>
      <xdr:spPr>
        <a:xfrm>
          <a:off x="12162171" y="152399"/>
          <a:ext cx="1477065" cy="869674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>
                  <a:lumMod val="65000"/>
                  <a:lumOff val="35000"/>
                </a:schemeClr>
              </a:solidFill>
            </a:rPr>
            <a:t>Paytm</a:t>
          </a:r>
          <a:r>
            <a:rPr lang="en-US" sz="2000" baseline="0">
              <a:solidFill>
                <a:schemeClr val="tx1">
                  <a:lumMod val="65000"/>
                  <a:lumOff val="35000"/>
                </a:schemeClr>
              </a:solidFill>
            </a:rPr>
            <a:t> Nifty Auto</a:t>
          </a:r>
          <a:endParaRPr lang="en-US" sz="200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15119</xdr:colOff>
      <xdr:row>6</xdr:row>
      <xdr:rowOff>125648</xdr:rowOff>
    </xdr:from>
    <xdr:to>
      <xdr:col>9</xdr:col>
      <xdr:colOff>162872</xdr:colOff>
      <xdr:row>20</xdr:row>
      <xdr:rowOff>126008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6CDB0D7-CEC0-434D-BAFD-713977F2B6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215630</xdr:colOff>
      <xdr:row>7</xdr:row>
      <xdr:rowOff>100027</xdr:rowOff>
    </xdr:from>
    <xdr:to>
      <xdr:col>20</xdr:col>
      <xdr:colOff>416608</xdr:colOff>
      <xdr:row>9</xdr:row>
      <xdr:rowOff>122980</xdr:rowOff>
    </xdr:to>
    <xdr:sp macro="" textlink="">
      <xdr:nvSpPr>
        <xdr:cNvPr id="4" name="Flowchart: Alternate Process 3">
          <a:extLst>
            <a:ext uri="{FF2B5EF4-FFF2-40B4-BE49-F238E27FC236}">
              <a16:creationId xmlns:a16="http://schemas.microsoft.com/office/drawing/2014/main" id="{C58AA644-C3F1-499F-A679-49C3181C410B}"/>
            </a:ext>
          </a:extLst>
        </xdr:cNvPr>
        <xdr:cNvSpPr/>
      </xdr:nvSpPr>
      <xdr:spPr>
        <a:xfrm>
          <a:off x="9969230" y="1433527"/>
          <a:ext cx="2639378" cy="403953"/>
        </a:xfrm>
        <a:prstGeom prst="flowChartAlternateProcess">
          <a:avLst/>
        </a:prstGeom>
        <a:solidFill>
          <a:schemeClr val="bg1"/>
        </a:solidFill>
        <a:ln w="28575"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>
              <a:solidFill>
                <a:sysClr val="windowText" lastClr="000000"/>
              </a:solidFill>
            </a:rPr>
            <a:t>OPERATING PROFIT</a:t>
          </a:r>
          <a:r>
            <a:rPr lang="en-US" sz="1600" baseline="0">
              <a:solidFill>
                <a:sysClr val="windowText" lastClr="000000"/>
              </a:solidFill>
            </a:rPr>
            <a:t> MARGIN</a:t>
          </a:r>
          <a:endParaRPr lang="en-US" sz="16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16</xdr:col>
      <xdr:colOff>230320</xdr:colOff>
      <xdr:row>18</xdr:row>
      <xdr:rowOff>21710</xdr:rowOff>
    </xdr:from>
    <xdr:to>
      <xdr:col>20</xdr:col>
      <xdr:colOff>431298</xdr:colOff>
      <xdr:row>20</xdr:row>
      <xdr:rowOff>44662</xdr:rowOff>
    </xdr:to>
    <xdr:sp macro="" textlink="">
      <xdr:nvSpPr>
        <xdr:cNvPr id="5" name="Flowchart: Alternate Process 4">
          <a:extLst>
            <a:ext uri="{FF2B5EF4-FFF2-40B4-BE49-F238E27FC236}">
              <a16:creationId xmlns:a16="http://schemas.microsoft.com/office/drawing/2014/main" id="{57A36214-CA6E-4F8D-956E-A43704D222B8}"/>
            </a:ext>
          </a:extLst>
        </xdr:cNvPr>
        <xdr:cNvSpPr/>
      </xdr:nvSpPr>
      <xdr:spPr>
        <a:xfrm>
          <a:off x="9983920" y="3450710"/>
          <a:ext cx="2639378" cy="403952"/>
        </a:xfrm>
        <a:prstGeom prst="flowChartAlternateProcess">
          <a:avLst/>
        </a:prstGeom>
        <a:solidFill>
          <a:schemeClr val="bg1"/>
        </a:solidFill>
        <a:ln w="28575"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>
              <a:solidFill>
                <a:sysClr val="windowText" lastClr="000000"/>
              </a:solidFill>
            </a:rPr>
            <a:t>CURRENT</a:t>
          </a:r>
          <a:r>
            <a:rPr lang="en-US" sz="1600" baseline="0">
              <a:solidFill>
                <a:sysClr val="windowText" lastClr="000000"/>
              </a:solidFill>
            </a:rPr>
            <a:t> RATIO</a:t>
          </a:r>
          <a:endParaRPr lang="en-US" sz="16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16</xdr:col>
      <xdr:colOff>222057</xdr:colOff>
      <xdr:row>14</xdr:row>
      <xdr:rowOff>94978</xdr:rowOff>
    </xdr:from>
    <xdr:to>
      <xdr:col>20</xdr:col>
      <xdr:colOff>423035</xdr:colOff>
      <xdr:row>16</xdr:row>
      <xdr:rowOff>117930</xdr:rowOff>
    </xdr:to>
    <xdr:sp macro="" textlink="">
      <xdr:nvSpPr>
        <xdr:cNvPr id="6" name="Flowchart: Alternate Process 5">
          <a:extLst>
            <a:ext uri="{FF2B5EF4-FFF2-40B4-BE49-F238E27FC236}">
              <a16:creationId xmlns:a16="http://schemas.microsoft.com/office/drawing/2014/main" id="{C62DF09F-CBAF-4418-81E6-8990C2CDCE84}"/>
            </a:ext>
          </a:extLst>
        </xdr:cNvPr>
        <xdr:cNvSpPr/>
      </xdr:nvSpPr>
      <xdr:spPr>
        <a:xfrm>
          <a:off x="9975657" y="2761978"/>
          <a:ext cx="2639378" cy="403952"/>
        </a:xfrm>
        <a:prstGeom prst="flowChartAlternateProcess">
          <a:avLst/>
        </a:prstGeom>
        <a:solidFill>
          <a:schemeClr val="bg1"/>
        </a:solidFill>
        <a:ln w="28575"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>
              <a:solidFill>
                <a:sysClr val="windowText" lastClr="000000"/>
              </a:solidFill>
            </a:rPr>
            <a:t>ASSET</a:t>
          </a:r>
          <a:r>
            <a:rPr lang="en-US" sz="1600" baseline="0">
              <a:solidFill>
                <a:sysClr val="windowText" lastClr="000000"/>
              </a:solidFill>
            </a:rPr>
            <a:t> TURNOVER RATIO</a:t>
          </a:r>
          <a:endParaRPr lang="en-US" sz="16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16</xdr:col>
      <xdr:colOff>225270</xdr:colOff>
      <xdr:row>10</xdr:row>
      <xdr:rowOff>178522</xdr:rowOff>
    </xdr:from>
    <xdr:to>
      <xdr:col>20</xdr:col>
      <xdr:colOff>426248</xdr:colOff>
      <xdr:row>13</xdr:row>
      <xdr:rowOff>16661</xdr:rowOff>
    </xdr:to>
    <xdr:sp macro="" textlink="">
      <xdr:nvSpPr>
        <xdr:cNvPr id="7" name="Flowchart: Alternate Process 6">
          <a:extLst>
            <a:ext uri="{FF2B5EF4-FFF2-40B4-BE49-F238E27FC236}">
              <a16:creationId xmlns:a16="http://schemas.microsoft.com/office/drawing/2014/main" id="{BF910419-B886-42E7-AE69-BF494A969A9E}"/>
            </a:ext>
          </a:extLst>
        </xdr:cNvPr>
        <xdr:cNvSpPr/>
      </xdr:nvSpPr>
      <xdr:spPr>
        <a:xfrm>
          <a:off x="9978870" y="2083522"/>
          <a:ext cx="2639378" cy="409639"/>
        </a:xfrm>
        <a:prstGeom prst="flowChartAlternateProcess">
          <a:avLst/>
        </a:prstGeom>
        <a:solidFill>
          <a:schemeClr val="bg1"/>
        </a:solidFill>
        <a:ln w="28575"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>
              <a:solidFill>
                <a:sysClr val="windowText" lastClr="000000"/>
              </a:solidFill>
            </a:rPr>
            <a:t>DEBT</a:t>
          </a:r>
          <a:r>
            <a:rPr lang="en-US" sz="1600" baseline="0">
              <a:solidFill>
                <a:sysClr val="windowText" lastClr="000000"/>
              </a:solidFill>
            </a:rPr>
            <a:t> TO EQUITY RATIO</a:t>
          </a:r>
          <a:endParaRPr lang="en-US" sz="16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20</xdr:col>
      <xdr:colOff>500152</xdr:colOff>
      <xdr:row>7</xdr:row>
      <xdr:rowOff>103240</xdr:rowOff>
    </xdr:from>
    <xdr:to>
      <xdr:col>22</xdr:col>
      <xdr:colOff>382180</xdr:colOff>
      <xdr:row>9</xdr:row>
      <xdr:rowOff>145931</xdr:rowOff>
    </xdr:to>
    <xdr:sp macro="" textlink="">
      <xdr:nvSpPr>
        <xdr:cNvPr id="8" name="Flowchart: Alternate Process 7">
          <a:extLst>
            <a:ext uri="{FF2B5EF4-FFF2-40B4-BE49-F238E27FC236}">
              <a16:creationId xmlns:a16="http://schemas.microsoft.com/office/drawing/2014/main" id="{09922D2D-491A-470E-90CE-7104EA7C4020}"/>
            </a:ext>
          </a:extLst>
        </xdr:cNvPr>
        <xdr:cNvSpPr/>
      </xdr:nvSpPr>
      <xdr:spPr>
        <a:xfrm>
          <a:off x="12692152" y="1436740"/>
          <a:ext cx="1101228" cy="423691"/>
        </a:xfrm>
        <a:prstGeom prst="flowChartAlternateProcess">
          <a:avLst/>
        </a:prstGeom>
        <a:solidFill>
          <a:schemeClr val="bg1"/>
        </a:solidFill>
        <a:ln w="28575"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>
              <a:solidFill>
                <a:sysClr val="windowText" lastClr="000000"/>
              </a:solidFill>
            </a:rPr>
            <a:t>17.97%</a:t>
          </a:r>
        </a:p>
      </xdr:txBody>
    </xdr:sp>
    <xdr:clientData/>
  </xdr:twoCellAnchor>
  <xdr:twoCellAnchor>
    <xdr:from>
      <xdr:col>20</xdr:col>
      <xdr:colOff>503365</xdr:colOff>
      <xdr:row>10</xdr:row>
      <xdr:rowOff>163833</xdr:rowOff>
    </xdr:from>
    <xdr:to>
      <xdr:col>22</xdr:col>
      <xdr:colOff>385393</xdr:colOff>
      <xdr:row>13</xdr:row>
      <xdr:rowOff>21710</xdr:rowOff>
    </xdr:to>
    <xdr:sp macro="" textlink="">
      <xdr:nvSpPr>
        <xdr:cNvPr id="9" name="Flowchart: Alternate Process 8">
          <a:extLst>
            <a:ext uri="{FF2B5EF4-FFF2-40B4-BE49-F238E27FC236}">
              <a16:creationId xmlns:a16="http://schemas.microsoft.com/office/drawing/2014/main" id="{F5A9AABA-1A05-4D6A-BD76-826CF6FE2B0E}"/>
            </a:ext>
          </a:extLst>
        </xdr:cNvPr>
        <xdr:cNvSpPr/>
      </xdr:nvSpPr>
      <xdr:spPr>
        <a:xfrm>
          <a:off x="12695365" y="2068833"/>
          <a:ext cx="1101228" cy="429377"/>
        </a:xfrm>
        <a:prstGeom prst="flowChartAlternateProcess">
          <a:avLst/>
        </a:prstGeom>
        <a:solidFill>
          <a:schemeClr val="bg1"/>
        </a:solidFill>
        <a:ln w="28575"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20</xdr:col>
      <xdr:colOff>506579</xdr:colOff>
      <xdr:row>14</xdr:row>
      <xdr:rowOff>86715</xdr:rowOff>
    </xdr:from>
    <xdr:to>
      <xdr:col>22</xdr:col>
      <xdr:colOff>388607</xdr:colOff>
      <xdr:row>16</xdr:row>
      <xdr:rowOff>129405</xdr:rowOff>
    </xdr:to>
    <xdr:sp macro="" textlink="">
      <xdr:nvSpPr>
        <xdr:cNvPr id="10" name="Flowchart: Alternate Process 9">
          <a:extLst>
            <a:ext uri="{FF2B5EF4-FFF2-40B4-BE49-F238E27FC236}">
              <a16:creationId xmlns:a16="http://schemas.microsoft.com/office/drawing/2014/main" id="{750F748F-DBB5-4F76-B531-BE4D62F88EEC}"/>
            </a:ext>
          </a:extLst>
        </xdr:cNvPr>
        <xdr:cNvSpPr/>
      </xdr:nvSpPr>
      <xdr:spPr>
        <a:xfrm>
          <a:off x="12698579" y="2753715"/>
          <a:ext cx="1101228" cy="423690"/>
        </a:xfrm>
        <a:prstGeom prst="flowChartAlternateProcess">
          <a:avLst/>
        </a:prstGeom>
        <a:solidFill>
          <a:schemeClr val="bg1"/>
        </a:solidFill>
        <a:ln w="28575"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>
              <a:solidFill>
                <a:sysClr val="windowText" lastClr="000000"/>
              </a:solidFill>
            </a:rPr>
            <a:t>1.4:1</a:t>
          </a:r>
        </a:p>
      </xdr:txBody>
    </xdr:sp>
    <xdr:clientData/>
  </xdr:twoCellAnchor>
  <xdr:twoCellAnchor>
    <xdr:from>
      <xdr:col>20</xdr:col>
      <xdr:colOff>521268</xdr:colOff>
      <xdr:row>18</xdr:row>
      <xdr:rowOff>18497</xdr:rowOff>
    </xdr:from>
    <xdr:to>
      <xdr:col>22</xdr:col>
      <xdr:colOff>403296</xdr:colOff>
      <xdr:row>20</xdr:row>
      <xdr:rowOff>28135</xdr:rowOff>
    </xdr:to>
    <xdr:sp macro="" textlink="">
      <xdr:nvSpPr>
        <xdr:cNvPr id="11" name="Flowchart: Alternate Process 10">
          <a:extLst>
            <a:ext uri="{FF2B5EF4-FFF2-40B4-BE49-F238E27FC236}">
              <a16:creationId xmlns:a16="http://schemas.microsoft.com/office/drawing/2014/main" id="{F8A45BBA-D9C1-4626-A6FC-541EF53843A8}"/>
            </a:ext>
          </a:extLst>
        </xdr:cNvPr>
        <xdr:cNvSpPr/>
      </xdr:nvSpPr>
      <xdr:spPr>
        <a:xfrm>
          <a:off x="12713268" y="3447497"/>
          <a:ext cx="1101228" cy="390638"/>
        </a:xfrm>
        <a:prstGeom prst="flowChartAlternateProcess">
          <a:avLst/>
        </a:prstGeom>
        <a:solidFill>
          <a:schemeClr val="bg1"/>
        </a:solidFill>
        <a:ln w="28575"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>
              <a:solidFill>
                <a:sysClr val="windowText" lastClr="000000"/>
              </a:solidFill>
            </a:rPr>
            <a:t>0.95:1</a:t>
          </a:r>
        </a:p>
      </xdr:txBody>
    </xdr:sp>
    <xdr:clientData/>
  </xdr:twoCellAnchor>
  <xdr:twoCellAnchor>
    <xdr:from>
      <xdr:col>0</xdr:col>
      <xdr:colOff>268273</xdr:colOff>
      <xdr:row>22</xdr:row>
      <xdr:rowOff>832</xdr:rowOff>
    </xdr:from>
    <xdr:to>
      <xdr:col>8</xdr:col>
      <xdr:colOff>375988</xdr:colOff>
      <xdr:row>36</xdr:row>
      <xdr:rowOff>25068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8A35CE64-D25C-4BB1-80B1-03BE09F01410}"/>
            </a:ext>
          </a:extLst>
        </xdr:cNvPr>
        <xdr:cNvSpPr/>
      </xdr:nvSpPr>
      <xdr:spPr>
        <a:xfrm>
          <a:off x="268273" y="4191832"/>
          <a:ext cx="4984515" cy="2691236"/>
        </a:xfrm>
        <a:prstGeom prst="roundRect">
          <a:avLst/>
        </a:prstGeom>
        <a:solidFill>
          <a:sysClr val="window" lastClr="FFFFFF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  <a:p>
          <a:pPr algn="l"/>
          <a:endParaRPr lang="en-US" sz="1100"/>
        </a:p>
        <a:p>
          <a:pPr algn="l"/>
          <a:endParaRPr lang="en-US" sz="1100"/>
        </a:p>
        <a:p>
          <a:pPr algn="l"/>
          <a:endParaRPr lang="en-US" sz="1100"/>
        </a:p>
        <a:p>
          <a:pPr algn="ctr"/>
          <a:r>
            <a:rPr lang="en-US" sz="1800">
              <a:solidFill>
                <a:sysClr val="windowText" lastClr="000000"/>
              </a:solidFill>
            </a:rPr>
            <a:t>M-score = −4.84 + 0.92 × DSRI + 0.528 × GMI + 0.404 × AQI + 0.892 × SGI + 0.115 × DEPI −0.172 × SGAI + 4.679 × TATA − 0.327 × LVGI </a:t>
          </a:r>
        </a:p>
        <a:p>
          <a:pPr algn="ctr"/>
          <a:br>
            <a:rPr lang="en-US" sz="1800">
              <a:solidFill>
                <a:sysClr val="windowText" lastClr="000000"/>
              </a:solidFill>
            </a:rPr>
          </a:br>
          <a:endParaRPr lang="en-US" sz="1800">
            <a:solidFill>
              <a:sysClr val="windowText" lastClr="000000"/>
            </a:solidFill>
          </a:endParaRPr>
        </a:p>
        <a:p>
          <a:pPr algn="ctr"/>
          <a:endParaRPr lang="en-US" sz="1600">
            <a:solidFill>
              <a:sysClr val="windowText" lastClr="000000"/>
            </a:solidFill>
          </a:endParaRPr>
        </a:p>
        <a:p>
          <a:pPr algn="ctr"/>
          <a:endParaRPr lang="en-US" sz="1600">
            <a:solidFill>
              <a:sysClr val="windowText" lastClr="000000"/>
            </a:solidFill>
          </a:endParaRPr>
        </a:p>
      </xdr:txBody>
    </xdr:sp>
    <xdr:clientData/>
  </xdr:twoCellAnchor>
  <xdr:oneCellAnchor>
    <xdr:from>
      <xdr:col>0</xdr:col>
      <xdr:colOff>427393</xdr:colOff>
      <xdr:row>22</xdr:row>
      <xdr:rowOff>99907</xdr:rowOff>
    </xdr:from>
    <xdr:ext cx="4713214" cy="781111"/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FDC29846-04F9-4C5C-B82F-1D8FEB8AD47A}"/>
            </a:ext>
          </a:extLst>
        </xdr:cNvPr>
        <xdr:cNvSpPr/>
      </xdr:nvSpPr>
      <xdr:spPr>
        <a:xfrm>
          <a:off x="427393" y="4290907"/>
          <a:ext cx="4713214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44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BENEISH M - SCORE</a:t>
          </a:r>
        </a:p>
      </xdr:txBody>
    </xdr:sp>
    <xdr:clientData/>
  </xdr:oneCellAnchor>
  <xdr:oneCellAnchor>
    <xdr:from>
      <xdr:col>2</xdr:col>
      <xdr:colOff>341287</xdr:colOff>
      <xdr:row>30</xdr:row>
      <xdr:rowOff>127302</xdr:rowOff>
    </xdr:from>
    <xdr:ext cx="2349108" cy="937629"/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EAD4D975-E971-4671-866A-F4A50A305658}"/>
            </a:ext>
          </a:extLst>
        </xdr:cNvPr>
        <xdr:cNvSpPr/>
      </xdr:nvSpPr>
      <xdr:spPr>
        <a:xfrm>
          <a:off x="1556070" y="5925128"/>
          <a:ext cx="2349108" cy="93762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-2.2509</a:t>
          </a:r>
        </a:p>
      </xdr:txBody>
    </xdr:sp>
    <xdr:clientData/>
  </xdr:oneCellAnchor>
  <xdr:twoCellAnchor>
    <xdr:from>
      <xdr:col>15</xdr:col>
      <xdr:colOff>576514</xdr:colOff>
      <xdr:row>21</xdr:row>
      <xdr:rowOff>125329</xdr:rowOff>
    </xdr:from>
    <xdr:to>
      <xdr:col>23</xdr:col>
      <xdr:colOff>235620</xdr:colOff>
      <xdr:row>36</xdr:row>
      <xdr:rowOff>48628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27618637-8333-4ED0-BBEB-25B4D12127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207066</xdr:colOff>
      <xdr:row>0</xdr:row>
      <xdr:rowOff>151847</xdr:rowOff>
    </xdr:from>
    <xdr:to>
      <xdr:col>3</xdr:col>
      <xdr:colOff>469348</xdr:colOff>
      <xdr:row>5</xdr:row>
      <xdr:rowOff>55217</xdr:rowOff>
    </xdr:to>
    <xdr:sp macro="[0]!Ashok_Leyland" textlink="">
      <xdr:nvSpPr>
        <xdr:cNvPr id="34" name="Rectangle: Rounded Corners 33">
          <a:extLst>
            <a:ext uri="{FF2B5EF4-FFF2-40B4-BE49-F238E27FC236}">
              <a16:creationId xmlns:a16="http://schemas.microsoft.com/office/drawing/2014/main" id="{C3199E65-B853-42DB-9CC3-A86FB27FBD6A}"/>
            </a:ext>
          </a:extLst>
        </xdr:cNvPr>
        <xdr:cNvSpPr/>
      </xdr:nvSpPr>
      <xdr:spPr>
        <a:xfrm>
          <a:off x="814457" y="151847"/>
          <a:ext cx="1477065" cy="869674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>
                  <a:lumMod val="65000"/>
                  <a:lumOff val="35000"/>
                </a:schemeClr>
              </a:solidFill>
            </a:rPr>
            <a:t>Ashok Leyland</a:t>
          </a:r>
        </a:p>
      </xdr:txBody>
    </xdr:sp>
    <xdr:clientData/>
  </xdr:twoCellAnchor>
  <xdr:twoCellAnchor>
    <xdr:from>
      <xdr:col>4</xdr:col>
      <xdr:colOff>27610</xdr:colOff>
      <xdr:row>0</xdr:row>
      <xdr:rowOff>151847</xdr:rowOff>
    </xdr:from>
    <xdr:to>
      <xdr:col>6</xdr:col>
      <xdr:colOff>289892</xdr:colOff>
      <xdr:row>5</xdr:row>
      <xdr:rowOff>55217</xdr:rowOff>
    </xdr:to>
    <xdr:sp macro="[0]!Bajaj_Auto" textlink="">
      <xdr:nvSpPr>
        <xdr:cNvPr id="35" name="Rectangle: Rounded Corners 34">
          <a:extLst>
            <a:ext uri="{FF2B5EF4-FFF2-40B4-BE49-F238E27FC236}">
              <a16:creationId xmlns:a16="http://schemas.microsoft.com/office/drawing/2014/main" id="{7950295B-B81D-4EC4-B746-64DE8B0B9590}"/>
            </a:ext>
          </a:extLst>
        </xdr:cNvPr>
        <xdr:cNvSpPr/>
      </xdr:nvSpPr>
      <xdr:spPr>
        <a:xfrm>
          <a:off x="2457175" y="151847"/>
          <a:ext cx="1477065" cy="869674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tx1">
                  <a:lumMod val="65000"/>
                  <a:lumOff val="35000"/>
                </a:schemeClr>
              </a:solidFill>
            </a:rPr>
            <a:t>Bajaj Auto</a:t>
          </a:r>
        </a:p>
      </xdr:txBody>
    </xdr:sp>
    <xdr:clientData/>
  </xdr:twoCellAnchor>
  <xdr:twoCellAnchor>
    <xdr:from>
      <xdr:col>6</xdr:col>
      <xdr:colOff>469901</xdr:colOff>
      <xdr:row>0</xdr:row>
      <xdr:rowOff>152399</xdr:rowOff>
    </xdr:from>
    <xdr:to>
      <xdr:col>9</xdr:col>
      <xdr:colOff>124792</xdr:colOff>
      <xdr:row>5</xdr:row>
      <xdr:rowOff>55769</xdr:rowOff>
    </xdr:to>
    <xdr:sp macro="[0]!Eicher_Motors" textlink="">
      <xdr:nvSpPr>
        <xdr:cNvPr id="36" name="Rectangle: Rounded Corners 35">
          <a:extLst>
            <a:ext uri="{FF2B5EF4-FFF2-40B4-BE49-F238E27FC236}">
              <a16:creationId xmlns:a16="http://schemas.microsoft.com/office/drawing/2014/main" id="{B9DA7AF5-0D05-40DA-B56C-A99EA3F54252}"/>
            </a:ext>
          </a:extLst>
        </xdr:cNvPr>
        <xdr:cNvSpPr/>
      </xdr:nvSpPr>
      <xdr:spPr>
        <a:xfrm>
          <a:off x="4114249" y="152399"/>
          <a:ext cx="1477065" cy="869674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>
                  <a:lumMod val="65000"/>
                  <a:lumOff val="35000"/>
                </a:schemeClr>
              </a:solidFill>
            </a:rPr>
            <a:t>Eicher Mototrs</a:t>
          </a:r>
        </a:p>
      </xdr:txBody>
    </xdr:sp>
    <xdr:clientData/>
  </xdr:twoCellAnchor>
  <xdr:twoCellAnchor>
    <xdr:from>
      <xdr:col>9</xdr:col>
      <xdr:colOff>277193</xdr:colOff>
      <xdr:row>0</xdr:row>
      <xdr:rowOff>152951</xdr:rowOff>
    </xdr:from>
    <xdr:to>
      <xdr:col>11</xdr:col>
      <xdr:colOff>539476</xdr:colOff>
      <xdr:row>5</xdr:row>
      <xdr:rowOff>56321</xdr:rowOff>
    </xdr:to>
    <xdr:sp macro="[0]!Hero_Motocorp" textlink="">
      <xdr:nvSpPr>
        <xdr:cNvPr id="37" name="Rectangle: Rounded Corners 36">
          <a:extLst>
            <a:ext uri="{FF2B5EF4-FFF2-40B4-BE49-F238E27FC236}">
              <a16:creationId xmlns:a16="http://schemas.microsoft.com/office/drawing/2014/main" id="{E11B6BF8-E796-4F16-B608-F860872FFC39}"/>
            </a:ext>
          </a:extLst>
        </xdr:cNvPr>
        <xdr:cNvSpPr/>
      </xdr:nvSpPr>
      <xdr:spPr>
        <a:xfrm>
          <a:off x="5743715" y="152951"/>
          <a:ext cx="1477065" cy="869674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>
                  <a:lumMod val="65000"/>
                  <a:lumOff val="35000"/>
                </a:schemeClr>
              </a:solidFill>
            </a:rPr>
            <a:t>Hero Motocorp</a:t>
          </a:r>
        </a:p>
      </xdr:txBody>
    </xdr:sp>
    <xdr:clientData/>
  </xdr:twoCellAnchor>
  <xdr:twoCellAnchor>
    <xdr:from>
      <xdr:col>12</xdr:col>
      <xdr:colOff>84483</xdr:colOff>
      <xdr:row>0</xdr:row>
      <xdr:rowOff>167307</xdr:rowOff>
    </xdr:from>
    <xdr:to>
      <xdr:col>14</xdr:col>
      <xdr:colOff>346766</xdr:colOff>
      <xdr:row>5</xdr:row>
      <xdr:rowOff>70677</xdr:rowOff>
    </xdr:to>
    <xdr:sp macro="[0]!Maruti_Suzuki" textlink="">
      <xdr:nvSpPr>
        <xdr:cNvPr id="38" name="Rectangle: Rounded Corners 37">
          <a:extLst>
            <a:ext uri="{FF2B5EF4-FFF2-40B4-BE49-F238E27FC236}">
              <a16:creationId xmlns:a16="http://schemas.microsoft.com/office/drawing/2014/main" id="{7D7C14ED-A644-4762-98B4-1F3E8A0B91E8}"/>
            </a:ext>
          </a:extLst>
        </xdr:cNvPr>
        <xdr:cNvSpPr/>
      </xdr:nvSpPr>
      <xdr:spPr>
        <a:xfrm>
          <a:off x="7373179" y="167307"/>
          <a:ext cx="1477065" cy="869674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>
                  <a:lumMod val="65000"/>
                  <a:lumOff val="35000"/>
                </a:schemeClr>
              </a:solidFill>
            </a:rPr>
            <a:t>Maruti Suzuki</a:t>
          </a:r>
        </a:p>
      </xdr:txBody>
    </xdr:sp>
    <xdr:clientData/>
  </xdr:twoCellAnchor>
  <xdr:twoCellAnchor>
    <xdr:from>
      <xdr:col>14</xdr:col>
      <xdr:colOff>512971</xdr:colOff>
      <xdr:row>0</xdr:row>
      <xdr:rowOff>154055</xdr:rowOff>
    </xdr:from>
    <xdr:to>
      <xdr:col>17</xdr:col>
      <xdr:colOff>167862</xdr:colOff>
      <xdr:row>5</xdr:row>
      <xdr:rowOff>57425</xdr:rowOff>
    </xdr:to>
    <xdr:sp macro="[0]!Tata_Motors" textlink="">
      <xdr:nvSpPr>
        <xdr:cNvPr id="39" name="Rectangle: Rounded Corners 38">
          <a:extLst>
            <a:ext uri="{FF2B5EF4-FFF2-40B4-BE49-F238E27FC236}">
              <a16:creationId xmlns:a16="http://schemas.microsoft.com/office/drawing/2014/main" id="{5011AE78-2BD3-4408-BD16-2B6D39494A3B}"/>
            </a:ext>
          </a:extLst>
        </xdr:cNvPr>
        <xdr:cNvSpPr/>
      </xdr:nvSpPr>
      <xdr:spPr>
        <a:xfrm>
          <a:off x="9016449" y="154055"/>
          <a:ext cx="1477065" cy="869674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>
                  <a:lumMod val="65000"/>
                  <a:lumOff val="35000"/>
                </a:schemeClr>
              </a:solidFill>
            </a:rPr>
            <a:t>Tata Motors</a:t>
          </a:r>
        </a:p>
      </xdr:txBody>
    </xdr:sp>
    <xdr:clientData/>
  </xdr:twoCellAnchor>
  <xdr:twoCellAnchor>
    <xdr:from>
      <xdr:col>17</xdr:col>
      <xdr:colOff>317501</xdr:colOff>
      <xdr:row>0</xdr:row>
      <xdr:rowOff>165653</xdr:rowOff>
    </xdr:from>
    <xdr:to>
      <xdr:col>19</xdr:col>
      <xdr:colOff>579783</xdr:colOff>
      <xdr:row>5</xdr:row>
      <xdr:rowOff>69023</xdr:rowOff>
    </xdr:to>
    <xdr:sp macro="[0]!TVS_Motors" textlink="">
      <xdr:nvSpPr>
        <xdr:cNvPr id="40" name="Rectangle: Rounded Corners 39">
          <a:extLst>
            <a:ext uri="{FF2B5EF4-FFF2-40B4-BE49-F238E27FC236}">
              <a16:creationId xmlns:a16="http://schemas.microsoft.com/office/drawing/2014/main" id="{9990E6F2-D81D-4B16-B734-B8F6819C8361}"/>
            </a:ext>
          </a:extLst>
        </xdr:cNvPr>
        <xdr:cNvSpPr/>
      </xdr:nvSpPr>
      <xdr:spPr>
        <a:xfrm>
          <a:off x="10643153" y="165653"/>
          <a:ext cx="1477065" cy="869674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>
                  <a:lumMod val="65000"/>
                  <a:lumOff val="35000"/>
                </a:schemeClr>
              </a:solidFill>
            </a:rPr>
            <a:t>TVS Motors</a:t>
          </a:r>
        </a:p>
      </xdr:txBody>
    </xdr:sp>
    <xdr:clientData/>
  </xdr:twoCellAnchor>
  <xdr:twoCellAnchor>
    <xdr:from>
      <xdr:col>20</xdr:col>
      <xdr:colOff>124790</xdr:colOff>
      <xdr:row>0</xdr:row>
      <xdr:rowOff>166204</xdr:rowOff>
    </xdr:from>
    <xdr:to>
      <xdr:col>22</xdr:col>
      <xdr:colOff>303695</xdr:colOff>
      <xdr:row>5</xdr:row>
      <xdr:rowOff>69574</xdr:rowOff>
    </xdr:to>
    <xdr:sp macro="[0]!Paytm_Nifty_Auto" textlink="">
      <xdr:nvSpPr>
        <xdr:cNvPr id="41" name="Rectangle: Rounded Corners 40">
          <a:extLst>
            <a:ext uri="{FF2B5EF4-FFF2-40B4-BE49-F238E27FC236}">
              <a16:creationId xmlns:a16="http://schemas.microsoft.com/office/drawing/2014/main" id="{3EF5437E-2B0E-4518-9CE2-CD78708D787C}"/>
            </a:ext>
          </a:extLst>
        </xdr:cNvPr>
        <xdr:cNvSpPr/>
      </xdr:nvSpPr>
      <xdr:spPr>
        <a:xfrm>
          <a:off x="12272616" y="166204"/>
          <a:ext cx="1393688" cy="869674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>
                  <a:lumMod val="65000"/>
                  <a:lumOff val="35000"/>
                </a:schemeClr>
              </a:solidFill>
            </a:rPr>
            <a:t>Paytm</a:t>
          </a:r>
          <a:r>
            <a:rPr lang="en-US" sz="2000" baseline="0">
              <a:solidFill>
                <a:schemeClr val="tx1">
                  <a:lumMod val="65000"/>
                  <a:lumOff val="35000"/>
                </a:schemeClr>
              </a:solidFill>
            </a:rPr>
            <a:t> Nifty Auto</a:t>
          </a:r>
          <a:endParaRPr lang="en-US" sz="200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 editAs="oneCell">
    <xdr:from>
      <xdr:col>8</xdr:col>
      <xdr:colOff>510761</xdr:colOff>
      <xdr:row>21</xdr:row>
      <xdr:rowOff>124239</xdr:rowOff>
    </xdr:from>
    <xdr:to>
      <xdr:col>15</xdr:col>
      <xdr:colOff>469346</xdr:colOff>
      <xdr:row>28</xdr:row>
      <xdr:rowOff>55218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27BC4FE-A133-4F55-9F56-9F1B4431C6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69891" y="4182717"/>
          <a:ext cx="4210325" cy="1283805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496958</xdr:colOff>
      <xdr:row>28</xdr:row>
      <xdr:rowOff>55218</xdr:rowOff>
    </xdr:from>
    <xdr:to>
      <xdr:col>15</xdr:col>
      <xdr:colOff>496956</xdr:colOff>
      <xdr:row>35</xdr:row>
      <xdr:rowOff>131418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id="{C9303FA7-5B0A-4A01-A90E-739AD6C5D8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56088" y="5466522"/>
          <a:ext cx="4251738" cy="1429026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524565</xdr:colOff>
      <xdr:row>6</xdr:row>
      <xdr:rowOff>162065</xdr:rowOff>
    </xdr:from>
    <xdr:to>
      <xdr:col>15</xdr:col>
      <xdr:colOff>-1</xdr:colOff>
      <xdr:row>20</xdr:row>
      <xdr:rowOff>12309</xdr:rowOff>
    </xdr:to>
    <xdr:pic>
      <xdr:nvPicPr>
        <xdr:cNvPr id="46" name="Picture 45" descr="C:\Users\hp\Downloads\WhatsApp Image 2024-02-26 at 9.19.31 PM.jpeg">
          <a:extLst>
            <a:ext uri="{FF2B5EF4-FFF2-40B4-BE49-F238E27FC236}">
              <a16:creationId xmlns:a16="http://schemas.microsoft.com/office/drawing/2014/main" id="{6F1CCF20-E8C8-48B2-9789-C67DC8A4D1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98478" y="1321630"/>
          <a:ext cx="2512391" cy="25558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15119</xdr:colOff>
      <xdr:row>6</xdr:row>
      <xdr:rowOff>125648</xdr:rowOff>
    </xdr:from>
    <xdr:to>
      <xdr:col>9</xdr:col>
      <xdr:colOff>162872</xdr:colOff>
      <xdr:row>20</xdr:row>
      <xdr:rowOff>126008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AB39588-902B-4D87-89FC-600B7F450A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215630</xdr:colOff>
      <xdr:row>7</xdr:row>
      <xdr:rowOff>100027</xdr:rowOff>
    </xdr:from>
    <xdr:to>
      <xdr:col>20</xdr:col>
      <xdr:colOff>416608</xdr:colOff>
      <xdr:row>9</xdr:row>
      <xdr:rowOff>122980</xdr:rowOff>
    </xdr:to>
    <xdr:sp macro="" textlink="">
      <xdr:nvSpPr>
        <xdr:cNvPr id="4" name="Flowchart: Alternate Process 3">
          <a:extLst>
            <a:ext uri="{FF2B5EF4-FFF2-40B4-BE49-F238E27FC236}">
              <a16:creationId xmlns:a16="http://schemas.microsoft.com/office/drawing/2014/main" id="{B8A4D70D-2114-4CBB-BB2F-0A4B74F505E0}"/>
            </a:ext>
          </a:extLst>
        </xdr:cNvPr>
        <xdr:cNvSpPr/>
      </xdr:nvSpPr>
      <xdr:spPr>
        <a:xfrm>
          <a:off x="9969230" y="1433527"/>
          <a:ext cx="2639378" cy="403953"/>
        </a:xfrm>
        <a:prstGeom prst="flowChartAlternateProcess">
          <a:avLst/>
        </a:prstGeom>
        <a:solidFill>
          <a:schemeClr val="bg1"/>
        </a:solidFill>
        <a:ln w="28575"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>
              <a:solidFill>
                <a:sysClr val="windowText" lastClr="000000"/>
              </a:solidFill>
            </a:rPr>
            <a:t>OPERATING PROFIT</a:t>
          </a:r>
          <a:r>
            <a:rPr lang="en-US" sz="1600" baseline="0">
              <a:solidFill>
                <a:sysClr val="windowText" lastClr="000000"/>
              </a:solidFill>
            </a:rPr>
            <a:t> MARGIN</a:t>
          </a:r>
          <a:endParaRPr lang="en-US" sz="16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16</xdr:col>
      <xdr:colOff>230320</xdr:colOff>
      <xdr:row>18</xdr:row>
      <xdr:rowOff>21710</xdr:rowOff>
    </xdr:from>
    <xdr:to>
      <xdr:col>20</xdr:col>
      <xdr:colOff>431298</xdr:colOff>
      <xdr:row>20</xdr:row>
      <xdr:rowOff>44662</xdr:rowOff>
    </xdr:to>
    <xdr:sp macro="" textlink="">
      <xdr:nvSpPr>
        <xdr:cNvPr id="5" name="Flowchart: Alternate Process 4">
          <a:extLst>
            <a:ext uri="{FF2B5EF4-FFF2-40B4-BE49-F238E27FC236}">
              <a16:creationId xmlns:a16="http://schemas.microsoft.com/office/drawing/2014/main" id="{70B17FCA-DE06-4A2D-9B1C-D6F7BFD5BB87}"/>
            </a:ext>
          </a:extLst>
        </xdr:cNvPr>
        <xdr:cNvSpPr/>
      </xdr:nvSpPr>
      <xdr:spPr>
        <a:xfrm>
          <a:off x="9983920" y="3450710"/>
          <a:ext cx="2639378" cy="403952"/>
        </a:xfrm>
        <a:prstGeom prst="flowChartAlternateProcess">
          <a:avLst/>
        </a:prstGeom>
        <a:solidFill>
          <a:schemeClr val="bg1"/>
        </a:solidFill>
        <a:ln w="28575"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>
              <a:solidFill>
                <a:sysClr val="windowText" lastClr="000000"/>
              </a:solidFill>
            </a:rPr>
            <a:t>CURRENT</a:t>
          </a:r>
          <a:r>
            <a:rPr lang="en-US" sz="1600" baseline="0">
              <a:solidFill>
                <a:sysClr val="windowText" lastClr="000000"/>
              </a:solidFill>
            </a:rPr>
            <a:t> RATIO</a:t>
          </a:r>
          <a:endParaRPr lang="en-US" sz="16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16</xdr:col>
      <xdr:colOff>222057</xdr:colOff>
      <xdr:row>14</xdr:row>
      <xdr:rowOff>94978</xdr:rowOff>
    </xdr:from>
    <xdr:to>
      <xdr:col>20</xdr:col>
      <xdr:colOff>423035</xdr:colOff>
      <xdr:row>16</xdr:row>
      <xdr:rowOff>117930</xdr:rowOff>
    </xdr:to>
    <xdr:sp macro="" textlink="">
      <xdr:nvSpPr>
        <xdr:cNvPr id="6" name="Flowchart: Alternate Process 5">
          <a:extLst>
            <a:ext uri="{FF2B5EF4-FFF2-40B4-BE49-F238E27FC236}">
              <a16:creationId xmlns:a16="http://schemas.microsoft.com/office/drawing/2014/main" id="{5A458F27-261C-4D25-861B-A5CDD8C67738}"/>
            </a:ext>
          </a:extLst>
        </xdr:cNvPr>
        <xdr:cNvSpPr/>
      </xdr:nvSpPr>
      <xdr:spPr>
        <a:xfrm>
          <a:off x="9975657" y="2761978"/>
          <a:ext cx="2639378" cy="403952"/>
        </a:xfrm>
        <a:prstGeom prst="flowChartAlternateProcess">
          <a:avLst/>
        </a:prstGeom>
        <a:solidFill>
          <a:schemeClr val="bg1"/>
        </a:solidFill>
        <a:ln w="28575"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>
              <a:solidFill>
                <a:sysClr val="windowText" lastClr="000000"/>
              </a:solidFill>
            </a:rPr>
            <a:t>ASSET</a:t>
          </a:r>
          <a:r>
            <a:rPr lang="en-US" sz="1600" baseline="0">
              <a:solidFill>
                <a:sysClr val="windowText" lastClr="000000"/>
              </a:solidFill>
            </a:rPr>
            <a:t> TURNOVER RATIO</a:t>
          </a:r>
          <a:endParaRPr lang="en-US" sz="16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16</xdr:col>
      <xdr:colOff>225270</xdr:colOff>
      <xdr:row>10</xdr:row>
      <xdr:rowOff>178522</xdr:rowOff>
    </xdr:from>
    <xdr:to>
      <xdr:col>20</xdr:col>
      <xdr:colOff>426248</xdr:colOff>
      <xdr:row>13</xdr:row>
      <xdr:rowOff>16661</xdr:rowOff>
    </xdr:to>
    <xdr:sp macro="" textlink="">
      <xdr:nvSpPr>
        <xdr:cNvPr id="7" name="Flowchart: Alternate Process 6">
          <a:extLst>
            <a:ext uri="{FF2B5EF4-FFF2-40B4-BE49-F238E27FC236}">
              <a16:creationId xmlns:a16="http://schemas.microsoft.com/office/drawing/2014/main" id="{C96ACB94-3361-420E-9B52-8F8CFCD705E8}"/>
            </a:ext>
          </a:extLst>
        </xdr:cNvPr>
        <xdr:cNvSpPr/>
      </xdr:nvSpPr>
      <xdr:spPr>
        <a:xfrm>
          <a:off x="9978870" y="2083522"/>
          <a:ext cx="2639378" cy="409639"/>
        </a:xfrm>
        <a:prstGeom prst="flowChartAlternateProcess">
          <a:avLst/>
        </a:prstGeom>
        <a:solidFill>
          <a:schemeClr val="bg1"/>
        </a:solidFill>
        <a:ln w="28575"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>
              <a:solidFill>
                <a:sysClr val="windowText" lastClr="000000"/>
              </a:solidFill>
            </a:rPr>
            <a:t>DEBT</a:t>
          </a:r>
          <a:r>
            <a:rPr lang="en-US" sz="1600" baseline="0">
              <a:solidFill>
                <a:sysClr val="windowText" lastClr="000000"/>
              </a:solidFill>
            </a:rPr>
            <a:t> TO EQUITY RATIO</a:t>
          </a:r>
          <a:endParaRPr lang="en-US" sz="16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20</xdr:col>
      <xdr:colOff>500152</xdr:colOff>
      <xdr:row>7</xdr:row>
      <xdr:rowOff>103240</xdr:rowOff>
    </xdr:from>
    <xdr:to>
      <xdr:col>22</xdr:col>
      <xdr:colOff>382180</xdr:colOff>
      <xdr:row>9</xdr:row>
      <xdr:rowOff>145931</xdr:rowOff>
    </xdr:to>
    <xdr:sp macro="" textlink="">
      <xdr:nvSpPr>
        <xdr:cNvPr id="8" name="Flowchart: Alternate Process 7">
          <a:extLst>
            <a:ext uri="{FF2B5EF4-FFF2-40B4-BE49-F238E27FC236}">
              <a16:creationId xmlns:a16="http://schemas.microsoft.com/office/drawing/2014/main" id="{CC2354C7-B396-4FD4-B55C-1316E0242B0C}"/>
            </a:ext>
          </a:extLst>
        </xdr:cNvPr>
        <xdr:cNvSpPr/>
      </xdr:nvSpPr>
      <xdr:spPr>
        <a:xfrm>
          <a:off x="12692152" y="1436740"/>
          <a:ext cx="1101228" cy="423691"/>
        </a:xfrm>
        <a:prstGeom prst="flowChartAlternateProcess">
          <a:avLst/>
        </a:prstGeom>
        <a:solidFill>
          <a:schemeClr val="bg1"/>
        </a:solidFill>
        <a:ln w="28575"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>
              <a:solidFill>
                <a:sysClr val="windowText" lastClr="000000"/>
              </a:solidFill>
            </a:rPr>
            <a:t>24.12%</a:t>
          </a:r>
        </a:p>
      </xdr:txBody>
    </xdr:sp>
    <xdr:clientData/>
  </xdr:twoCellAnchor>
  <xdr:twoCellAnchor>
    <xdr:from>
      <xdr:col>20</xdr:col>
      <xdr:colOff>503365</xdr:colOff>
      <xdr:row>10</xdr:row>
      <xdr:rowOff>163833</xdr:rowOff>
    </xdr:from>
    <xdr:to>
      <xdr:col>22</xdr:col>
      <xdr:colOff>385393</xdr:colOff>
      <xdr:row>13</xdr:row>
      <xdr:rowOff>21710</xdr:rowOff>
    </xdr:to>
    <xdr:sp macro="" textlink="">
      <xdr:nvSpPr>
        <xdr:cNvPr id="9" name="Flowchart: Alternate Process 8">
          <a:extLst>
            <a:ext uri="{FF2B5EF4-FFF2-40B4-BE49-F238E27FC236}">
              <a16:creationId xmlns:a16="http://schemas.microsoft.com/office/drawing/2014/main" id="{71AB45B1-6C0F-43D2-8889-284523FA9BB8}"/>
            </a:ext>
          </a:extLst>
        </xdr:cNvPr>
        <xdr:cNvSpPr/>
      </xdr:nvSpPr>
      <xdr:spPr>
        <a:xfrm>
          <a:off x="12695365" y="2068833"/>
          <a:ext cx="1101228" cy="429377"/>
        </a:xfrm>
        <a:prstGeom prst="flowChartAlternateProcess">
          <a:avLst/>
        </a:prstGeom>
        <a:solidFill>
          <a:schemeClr val="bg1"/>
        </a:solidFill>
        <a:ln w="28575"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>
              <a:solidFill>
                <a:sysClr val="windowText" lastClr="000000"/>
              </a:solidFill>
            </a:rPr>
            <a:t>0.01:1</a:t>
          </a:r>
        </a:p>
      </xdr:txBody>
    </xdr:sp>
    <xdr:clientData/>
  </xdr:twoCellAnchor>
  <xdr:twoCellAnchor>
    <xdr:from>
      <xdr:col>20</xdr:col>
      <xdr:colOff>506579</xdr:colOff>
      <xdr:row>14</xdr:row>
      <xdr:rowOff>86715</xdr:rowOff>
    </xdr:from>
    <xdr:to>
      <xdr:col>22</xdr:col>
      <xdr:colOff>388607</xdr:colOff>
      <xdr:row>16</xdr:row>
      <xdr:rowOff>129405</xdr:rowOff>
    </xdr:to>
    <xdr:sp macro="" textlink="">
      <xdr:nvSpPr>
        <xdr:cNvPr id="10" name="Flowchart: Alternate Process 9">
          <a:extLst>
            <a:ext uri="{FF2B5EF4-FFF2-40B4-BE49-F238E27FC236}">
              <a16:creationId xmlns:a16="http://schemas.microsoft.com/office/drawing/2014/main" id="{F6673A7F-AF30-48DB-9437-DFE561FD899D}"/>
            </a:ext>
          </a:extLst>
        </xdr:cNvPr>
        <xdr:cNvSpPr/>
      </xdr:nvSpPr>
      <xdr:spPr>
        <a:xfrm>
          <a:off x="12698579" y="2753715"/>
          <a:ext cx="1101228" cy="423690"/>
        </a:xfrm>
        <a:prstGeom prst="flowChartAlternateProcess">
          <a:avLst/>
        </a:prstGeom>
        <a:solidFill>
          <a:schemeClr val="bg1"/>
        </a:solidFill>
        <a:ln w="28575"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>
              <a:solidFill>
                <a:sysClr val="windowText" lastClr="000000"/>
              </a:solidFill>
            </a:rPr>
            <a:t>1.18:1</a:t>
          </a:r>
        </a:p>
      </xdr:txBody>
    </xdr:sp>
    <xdr:clientData/>
  </xdr:twoCellAnchor>
  <xdr:twoCellAnchor>
    <xdr:from>
      <xdr:col>20</xdr:col>
      <xdr:colOff>521268</xdr:colOff>
      <xdr:row>18</xdr:row>
      <xdr:rowOff>18497</xdr:rowOff>
    </xdr:from>
    <xdr:to>
      <xdr:col>22</xdr:col>
      <xdr:colOff>403296</xdr:colOff>
      <xdr:row>20</xdr:row>
      <xdr:rowOff>28135</xdr:rowOff>
    </xdr:to>
    <xdr:sp macro="" textlink="">
      <xdr:nvSpPr>
        <xdr:cNvPr id="11" name="Flowchart: Alternate Process 10">
          <a:extLst>
            <a:ext uri="{FF2B5EF4-FFF2-40B4-BE49-F238E27FC236}">
              <a16:creationId xmlns:a16="http://schemas.microsoft.com/office/drawing/2014/main" id="{992E4A96-9EB8-4FCC-B042-D51B53852F25}"/>
            </a:ext>
          </a:extLst>
        </xdr:cNvPr>
        <xdr:cNvSpPr/>
      </xdr:nvSpPr>
      <xdr:spPr>
        <a:xfrm>
          <a:off x="12713268" y="3447497"/>
          <a:ext cx="1101228" cy="390638"/>
        </a:xfrm>
        <a:prstGeom prst="flowChartAlternateProcess">
          <a:avLst/>
        </a:prstGeom>
        <a:solidFill>
          <a:schemeClr val="bg1"/>
        </a:solidFill>
        <a:ln w="28575"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>
              <a:solidFill>
                <a:sysClr val="windowText" lastClr="000000"/>
              </a:solidFill>
            </a:rPr>
            <a:t>0.89:1</a:t>
          </a:r>
        </a:p>
      </xdr:txBody>
    </xdr:sp>
    <xdr:clientData/>
  </xdr:twoCellAnchor>
  <xdr:twoCellAnchor>
    <xdr:from>
      <xdr:col>0</xdr:col>
      <xdr:colOff>268273</xdr:colOff>
      <xdr:row>22</xdr:row>
      <xdr:rowOff>832</xdr:rowOff>
    </xdr:from>
    <xdr:to>
      <xdr:col>8</xdr:col>
      <xdr:colOff>375988</xdr:colOff>
      <xdr:row>36</xdr:row>
      <xdr:rowOff>25068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6E494F52-3B7C-408F-9D3E-30A2001AC0DB}"/>
            </a:ext>
          </a:extLst>
        </xdr:cNvPr>
        <xdr:cNvSpPr/>
      </xdr:nvSpPr>
      <xdr:spPr>
        <a:xfrm>
          <a:off x="268273" y="4191832"/>
          <a:ext cx="4984515" cy="2691236"/>
        </a:xfrm>
        <a:prstGeom prst="roundRect">
          <a:avLst/>
        </a:prstGeom>
        <a:solidFill>
          <a:sysClr val="window" lastClr="FFFFFF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  <a:p>
          <a:pPr algn="l"/>
          <a:endParaRPr lang="en-US" sz="1100"/>
        </a:p>
        <a:p>
          <a:pPr algn="l"/>
          <a:endParaRPr lang="en-US" sz="1100"/>
        </a:p>
        <a:p>
          <a:pPr algn="l"/>
          <a:endParaRPr lang="en-US" sz="1100"/>
        </a:p>
        <a:p>
          <a:pPr algn="ctr"/>
          <a:r>
            <a:rPr lang="en-US" sz="1800">
              <a:solidFill>
                <a:sysClr val="windowText" lastClr="000000"/>
              </a:solidFill>
            </a:rPr>
            <a:t>M-score = −4.84 + 0.92 × DSRI + 0.528 × GMI + 0.404 × AQI + 0.892 × SGI + 0.115 × DEPI −0.172 × SGAI + 4.679 × TATA − 0.327 × LVGI </a:t>
          </a:r>
        </a:p>
        <a:p>
          <a:pPr algn="ctr"/>
          <a:br>
            <a:rPr lang="en-US" sz="1800">
              <a:solidFill>
                <a:sysClr val="windowText" lastClr="000000"/>
              </a:solidFill>
            </a:rPr>
          </a:br>
          <a:endParaRPr lang="en-US" sz="1800">
            <a:solidFill>
              <a:sysClr val="windowText" lastClr="000000"/>
            </a:solidFill>
          </a:endParaRPr>
        </a:p>
        <a:p>
          <a:pPr algn="ctr"/>
          <a:endParaRPr lang="en-US" sz="1600">
            <a:solidFill>
              <a:sysClr val="windowText" lastClr="000000"/>
            </a:solidFill>
          </a:endParaRPr>
        </a:p>
        <a:p>
          <a:pPr algn="ctr"/>
          <a:endParaRPr lang="en-US" sz="1600">
            <a:solidFill>
              <a:sysClr val="windowText" lastClr="000000"/>
            </a:solidFill>
          </a:endParaRPr>
        </a:p>
      </xdr:txBody>
    </xdr:sp>
    <xdr:clientData/>
  </xdr:twoCellAnchor>
  <xdr:oneCellAnchor>
    <xdr:from>
      <xdr:col>0</xdr:col>
      <xdr:colOff>427393</xdr:colOff>
      <xdr:row>22</xdr:row>
      <xdr:rowOff>99907</xdr:rowOff>
    </xdr:from>
    <xdr:ext cx="4713214" cy="781111"/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DFB82957-4DD7-469F-83BE-9A6897273012}"/>
            </a:ext>
          </a:extLst>
        </xdr:cNvPr>
        <xdr:cNvSpPr/>
      </xdr:nvSpPr>
      <xdr:spPr>
        <a:xfrm>
          <a:off x="427393" y="4290907"/>
          <a:ext cx="4713214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44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BENEISH M - SCORE</a:t>
          </a:r>
        </a:p>
      </xdr:txBody>
    </xdr:sp>
    <xdr:clientData/>
  </xdr:oneCellAnchor>
  <xdr:oneCellAnchor>
    <xdr:from>
      <xdr:col>2</xdr:col>
      <xdr:colOff>341287</xdr:colOff>
      <xdr:row>30</xdr:row>
      <xdr:rowOff>127302</xdr:rowOff>
    </xdr:from>
    <xdr:ext cx="2349108" cy="937629"/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993F6020-2858-4616-847E-A9E322F1D0FF}"/>
            </a:ext>
          </a:extLst>
        </xdr:cNvPr>
        <xdr:cNvSpPr/>
      </xdr:nvSpPr>
      <xdr:spPr>
        <a:xfrm>
          <a:off x="1560487" y="5842302"/>
          <a:ext cx="2349108" cy="93762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-3.4261</a:t>
          </a:r>
        </a:p>
      </xdr:txBody>
    </xdr:sp>
    <xdr:clientData/>
  </xdr:oneCellAnchor>
  <xdr:twoCellAnchor>
    <xdr:from>
      <xdr:col>1</xdr:col>
      <xdr:colOff>193262</xdr:colOff>
      <xdr:row>0</xdr:row>
      <xdr:rowOff>151848</xdr:rowOff>
    </xdr:from>
    <xdr:to>
      <xdr:col>3</xdr:col>
      <xdr:colOff>455544</xdr:colOff>
      <xdr:row>5</xdr:row>
      <xdr:rowOff>55218</xdr:rowOff>
    </xdr:to>
    <xdr:sp macro="[0]!Ashok_Leyland" textlink="">
      <xdr:nvSpPr>
        <xdr:cNvPr id="30" name="Rectangle: Rounded Corners 29">
          <a:extLst>
            <a:ext uri="{FF2B5EF4-FFF2-40B4-BE49-F238E27FC236}">
              <a16:creationId xmlns:a16="http://schemas.microsoft.com/office/drawing/2014/main" id="{2DE3DAE8-724B-4360-B6D2-0B69FC01D92B}"/>
            </a:ext>
          </a:extLst>
        </xdr:cNvPr>
        <xdr:cNvSpPr/>
      </xdr:nvSpPr>
      <xdr:spPr>
        <a:xfrm>
          <a:off x="800653" y="151848"/>
          <a:ext cx="1477065" cy="869674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>
                  <a:lumMod val="65000"/>
                  <a:lumOff val="35000"/>
                </a:schemeClr>
              </a:solidFill>
            </a:rPr>
            <a:t>Ashok Leyland</a:t>
          </a:r>
        </a:p>
      </xdr:txBody>
    </xdr:sp>
    <xdr:clientData/>
  </xdr:twoCellAnchor>
  <xdr:twoCellAnchor>
    <xdr:from>
      <xdr:col>4</xdr:col>
      <xdr:colOff>13806</xdr:colOff>
      <xdr:row>0</xdr:row>
      <xdr:rowOff>151848</xdr:rowOff>
    </xdr:from>
    <xdr:to>
      <xdr:col>6</xdr:col>
      <xdr:colOff>276088</xdr:colOff>
      <xdr:row>5</xdr:row>
      <xdr:rowOff>55218</xdr:rowOff>
    </xdr:to>
    <xdr:sp macro="[0]!Bajaj_Auto" textlink="">
      <xdr:nvSpPr>
        <xdr:cNvPr id="31" name="Rectangle: Rounded Corners 30">
          <a:extLst>
            <a:ext uri="{FF2B5EF4-FFF2-40B4-BE49-F238E27FC236}">
              <a16:creationId xmlns:a16="http://schemas.microsoft.com/office/drawing/2014/main" id="{EC94B91C-A15B-4CFE-B2B8-FE17D2098FF8}"/>
            </a:ext>
          </a:extLst>
        </xdr:cNvPr>
        <xdr:cNvSpPr/>
      </xdr:nvSpPr>
      <xdr:spPr>
        <a:xfrm>
          <a:off x="2443371" y="151848"/>
          <a:ext cx="1477065" cy="869674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>
                  <a:lumMod val="65000"/>
                  <a:lumOff val="35000"/>
                </a:schemeClr>
              </a:solidFill>
            </a:rPr>
            <a:t>Bajaj Auto</a:t>
          </a:r>
        </a:p>
      </xdr:txBody>
    </xdr:sp>
    <xdr:clientData/>
  </xdr:twoCellAnchor>
  <xdr:twoCellAnchor>
    <xdr:from>
      <xdr:col>6</xdr:col>
      <xdr:colOff>456097</xdr:colOff>
      <xdr:row>0</xdr:row>
      <xdr:rowOff>152400</xdr:rowOff>
    </xdr:from>
    <xdr:to>
      <xdr:col>9</xdr:col>
      <xdr:colOff>110988</xdr:colOff>
      <xdr:row>5</xdr:row>
      <xdr:rowOff>55770</xdr:rowOff>
    </xdr:to>
    <xdr:sp macro="[0]!Eicher_Motors" textlink="">
      <xdr:nvSpPr>
        <xdr:cNvPr id="32" name="Rectangle: Rounded Corners 31">
          <a:extLst>
            <a:ext uri="{FF2B5EF4-FFF2-40B4-BE49-F238E27FC236}">
              <a16:creationId xmlns:a16="http://schemas.microsoft.com/office/drawing/2014/main" id="{7751A242-E23A-4E24-8EE0-A282E3676517}"/>
            </a:ext>
          </a:extLst>
        </xdr:cNvPr>
        <xdr:cNvSpPr/>
      </xdr:nvSpPr>
      <xdr:spPr>
        <a:xfrm>
          <a:off x="4100445" y="152400"/>
          <a:ext cx="1477065" cy="869674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tx1">
                  <a:lumMod val="65000"/>
                  <a:lumOff val="35000"/>
                </a:schemeClr>
              </a:solidFill>
            </a:rPr>
            <a:t>Eicher Mototrs</a:t>
          </a:r>
        </a:p>
      </xdr:txBody>
    </xdr:sp>
    <xdr:clientData/>
  </xdr:twoCellAnchor>
  <xdr:twoCellAnchor>
    <xdr:from>
      <xdr:col>9</xdr:col>
      <xdr:colOff>263389</xdr:colOff>
      <xdr:row>0</xdr:row>
      <xdr:rowOff>152952</xdr:rowOff>
    </xdr:from>
    <xdr:to>
      <xdr:col>11</xdr:col>
      <xdr:colOff>525672</xdr:colOff>
      <xdr:row>5</xdr:row>
      <xdr:rowOff>56322</xdr:rowOff>
    </xdr:to>
    <xdr:sp macro="[0]!Hero_Motocorp" textlink="">
      <xdr:nvSpPr>
        <xdr:cNvPr id="33" name="Rectangle: Rounded Corners 32">
          <a:extLst>
            <a:ext uri="{FF2B5EF4-FFF2-40B4-BE49-F238E27FC236}">
              <a16:creationId xmlns:a16="http://schemas.microsoft.com/office/drawing/2014/main" id="{AFEC12E9-F156-4B39-93D8-BF4F955D86CF}"/>
            </a:ext>
          </a:extLst>
        </xdr:cNvPr>
        <xdr:cNvSpPr/>
      </xdr:nvSpPr>
      <xdr:spPr>
        <a:xfrm>
          <a:off x="5729911" y="152952"/>
          <a:ext cx="1477065" cy="869674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>
                  <a:lumMod val="65000"/>
                  <a:lumOff val="35000"/>
                </a:schemeClr>
              </a:solidFill>
            </a:rPr>
            <a:t>Hero Motocorp</a:t>
          </a:r>
        </a:p>
      </xdr:txBody>
    </xdr:sp>
    <xdr:clientData/>
  </xdr:twoCellAnchor>
  <xdr:twoCellAnchor>
    <xdr:from>
      <xdr:col>12</xdr:col>
      <xdr:colOff>70679</xdr:colOff>
      <xdr:row>0</xdr:row>
      <xdr:rowOff>167308</xdr:rowOff>
    </xdr:from>
    <xdr:to>
      <xdr:col>14</xdr:col>
      <xdr:colOff>332962</xdr:colOff>
      <xdr:row>5</xdr:row>
      <xdr:rowOff>70678</xdr:rowOff>
    </xdr:to>
    <xdr:sp macro="[0]!Maruti_Suzuki" textlink="">
      <xdr:nvSpPr>
        <xdr:cNvPr id="34" name="Rectangle: Rounded Corners 33">
          <a:extLst>
            <a:ext uri="{FF2B5EF4-FFF2-40B4-BE49-F238E27FC236}">
              <a16:creationId xmlns:a16="http://schemas.microsoft.com/office/drawing/2014/main" id="{E87DD4B5-FDE1-4FF6-9BAE-824ACADE4773}"/>
            </a:ext>
          </a:extLst>
        </xdr:cNvPr>
        <xdr:cNvSpPr/>
      </xdr:nvSpPr>
      <xdr:spPr>
        <a:xfrm>
          <a:off x="7359375" y="167308"/>
          <a:ext cx="1477065" cy="869674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>
                  <a:lumMod val="65000"/>
                  <a:lumOff val="35000"/>
                </a:schemeClr>
              </a:solidFill>
            </a:rPr>
            <a:t>Maruti Suzuki</a:t>
          </a:r>
        </a:p>
      </xdr:txBody>
    </xdr:sp>
    <xdr:clientData/>
  </xdr:twoCellAnchor>
  <xdr:twoCellAnchor>
    <xdr:from>
      <xdr:col>14</xdr:col>
      <xdr:colOff>499167</xdr:colOff>
      <xdr:row>0</xdr:row>
      <xdr:rowOff>154056</xdr:rowOff>
    </xdr:from>
    <xdr:to>
      <xdr:col>17</xdr:col>
      <xdr:colOff>154058</xdr:colOff>
      <xdr:row>5</xdr:row>
      <xdr:rowOff>57426</xdr:rowOff>
    </xdr:to>
    <xdr:sp macro="[0]!Tata_Motors" textlink="">
      <xdr:nvSpPr>
        <xdr:cNvPr id="35" name="Rectangle: Rounded Corners 34">
          <a:extLst>
            <a:ext uri="{FF2B5EF4-FFF2-40B4-BE49-F238E27FC236}">
              <a16:creationId xmlns:a16="http://schemas.microsoft.com/office/drawing/2014/main" id="{31BDBEBC-ABC1-4106-8058-C8BD40FE44A8}"/>
            </a:ext>
          </a:extLst>
        </xdr:cNvPr>
        <xdr:cNvSpPr/>
      </xdr:nvSpPr>
      <xdr:spPr>
        <a:xfrm>
          <a:off x="9002645" y="154056"/>
          <a:ext cx="1477065" cy="869674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>
                  <a:lumMod val="65000"/>
                  <a:lumOff val="35000"/>
                </a:schemeClr>
              </a:solidFill>
            </a:rPr>
            <a:t>Tata Motors</a:t>
          </a:r>
        </a:p>
      </xdr:txBody>
    </xdr:sp>
    <xdr:clientData/>
  </xdr:twoCellAnchor>
  <xdr:twoCellAnchor>
    <xdr:from>
      <xdr:col>17</xdr:col>
      <xdr:colOff>303697</xdr:colOff>
      <xdr:row>0</xdr:row>
      <xdr:rowOff>165654</xdr:rowOff>
    </xdr:from>
    <xdr:to>
      <xdr:col>19</xdr:col>
      <xdr:colOff>565979</xdr:colOff>
      <xdr:row>5</xdr:row>
      <xdr:rowOff>69024</xdr:rowOff>
    </xdr:to>
    <xdr:sp macro="[0]!TVS_Motors" textlink="">
      <xdr:nvSpPr>
        <xdr:cNvPr id="36" name="Rectangle: Rounded Corners 35">
          <a:extLst>
            <a:ext uri="{FF2B5EF4-FFF2-40B4-BE49-F238E27FC236}">
              <a16:creationId xmlns:a16="http://schemas.microsoft.com/office/drawing/2014/main" id="{57F5A256-E97C-4A04-AD79-EF004AC08EA2}"/>
            </a:ext>
          </a:extLst>
        </xdr:cNvPr>
        <xdr:cNvSpPr/>
      </xdr:nvSpPr>
      <xdr:spPr>
        <a:xfrm>
          <a:off x="10629349" y="165654"/>
          <a:ext cx="1477065" cy="869674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>
                  <a:lumMod val="65000"/>
                  <a:lumOff val="35000"/>
                </a:schemeClr>
              </a:solidFill>
            </a:rPr>
            <a:t>TVS Motors</a:t>
          </a:r>
        </a:p>
      </xdr:txBody>
    </xdr:sp>
    <xdr:clientData/>
  </xdr:twoCellAnchor>
  <xdr:twoCellAnchor>
    <xdr:from>
      <xdr:col>20</xdr:col>
      <xdr:colOff>98009</xdr:colOff>
      <xdr:row>0</xdr:row>
      <xdr:rowOff>152400</xdr:rowOff>
    </xdr:from>
    <xdr:to>
      <xdr:col>22</xdr:col>
      <xdr:colOff>262281</xdr:colOff>
      <xdr:row>5</xdr:row>
      <xdr:rowOff>55770</xdr:rowOff>
    </xdr:to>
    <xdr:sp macro="[0]!Paytm_Nifty_Auto" textlink="">
      <xdr:nvSpPr>
        <xdr:cNvPr id="37" name="Rectangle: Rounded Corners 36">
          <a:extLst>
            <a:ext uri="{FF2B5EF4-FFF2-40B4-BE49-F238E27FC236}">
              <a16:creationId xmlns:a16="http://schemas.microsoft.com/office/drawing/2014/main" id="{2B65AC7B-1C18-4830-B32C-8E07327CFF43}"/>
            </a:ext>
          </a:extLst>
        </xdr:cNvPr>
        <xdr:cNvSpPr/>
      </xdr:nvSpPr>
      <xdr:spPr>
        <a:xfrm>
          <a:off x="12245835" y="152400"/>
          <a:ext cx="1379055" cy="869674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>
                  <a:lumMod val="65000"/>
                  <a:lumOff val="35000"/>
                </a:schemeClr>
              </a:solidFill>
            </a:rPr>
            <a:t>Paytm</a:t>
          </a:r>
          <a:r>
            <a:rPr lang="en-US" sz="2000" baseline="0">
              <a:solidFill>
                <a:schemeClr val="tx1">
                  <a:lumMod val="65000"/>
                  <a:lumOff val="35000"/>
                </a:schemeClr>
              </a:solidFill>
            </a:rPr>
            <a:t> Nifty Auto</a:t>
          </a:r>
          <a:endParaRPr lang="en-US" sz="200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 editAs="oneCell">
    <xdr:from>
      <xdr:col>10</xdr:col>
      <xdr:colOff>43514</xdr:colOff>
      <xdr:row>7</xdr:row>
      <xdr:rowOff>69021</xdr:rowOff>
    </xdr:from>
    <xdr:to>
      <xdr:col>15</xdr:col>
      <xdr:colOff>289891</xdr:colOff>
      <xdr:row>19</xdr:row>
      <xdr:rowOff>151846</xdr:rowOff>
    </xdr:to>
    <xdr:pic>
      <xdr:nvPicPr>
        <xdr:cNvPr id="38" name="Picture 37" descr="C:\Users\hp\Downloads\WhatsApp Image 2024-02-26 at 9.22.16 PM.jpeg">
          <a:extLst>
            <a:ext uri="{FF2B5EF4-FFF2-40B4-BE49-F238E27FC236}">
              <a16:creationId xmlns:a16="http://schemas.microsoft.com/office/drawing/2014/main" id="{11C23D05-BF4E-4660-828A-A943E038A7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17427" y="1421847"/>
          <a:ext cx="3283334" cy="24019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510760</xdr:colOff>
      <xdr:row>28</xdr:row>
      <xdr:rowOff>41413</xdr:rowOff>
    </xdr:from>
    <xdr:to>
      <xdr:col>15</xdr:col>
      <xdr:colOff>483151</xdr:colOff>
      <xdr:row>35</xdr:row>
      <xdr:rowOff>117614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42A49CBB-B4DE-4CCA-9885-4166F38C17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69890" y="5452717"/>
          <a:ext cx="4224131" cy="1429027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16</xdr:col>
      <xdr:colOff>4140</xdr:colOff>
      <xdr:row>21</xdr:row>
      <xdr:rowOff>82827</xdr:rowOff>
    </xdr:from>
    <xdr:to>
      <xdr:col>23</xdr:col>
      <xdr:colOff>365125</xdr:colOff>
      <xdr:row>35</xdr:row>
      <xdr:rowOff>87277</xdr:rowOff>
    </xdr:to>
    <xdr:graphicFrame macro="">
      <xdr:nvGraphicFramePr>
        <xdr:cNvPr id="40" name="Chart 39">
          <a:extLst>
            <a:ext uri="{FF2B5EF4-FFF2-40B4-BE49-F238E27FC236}">
              <a16:creationId xmlns:a16="http://schemas.microsoft.com/office/drawing/2014/main" id="{09FA790F-3BB0-4DAD-BB8C-8ED9870C91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8</xdr:col>
      <xdr:colOff>510761</xdr:colOff>
      <xdr:row>21</xdr:row>
      <xdr:rowOff>151848</xdr:rowOff>
    </xdr:from>
    <xdr:to>
      <xdr:col>15</xdr:col>
      <xdr:colOff>469346</xdr:colOff>
      <xdr:row>28</xdr:row>
      <xdr:rowOff>25262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98416CB8-B394-4CD2-ADA7-35D4D2AA96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69891" y="4210326"/>
          <a:ext cx="4210325" cy="1226240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15119</xdr:colOff>
      <xdr:row>6</xdr:row>
      <xdr:rowOff>125648</xdr:rowOff>
    </xdr:from>
    <xdr:to>
      <xdr:col>9</xdr:col>
      <xdr:colOff>162872</xdr:colOff>
      <xdr:row>20</xdr:row>
      <xdr:rowOff>126008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15A06A9-7A9D-49F9-AC49-7F2DCD35A2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215630</xdr:colOff>
      <xdr:row>7</xdr:row>
      <xdr:rowOff>100027</xdr:rowOff>
    </xdr:from>
    <xdr:to>
      <xdr:col>20</xdr:col>
      <xdr:colOff>416608</xdr:colOff>
      <xdr:row>9</xdr:row>
      <xdr:rowOff>122980</xdr:rowOff>
    </xdr:to>
    <xdr:sp macro="" textlink="">
      <xdr:nvSpPr>
        <xdr:cNvPr id="4" name="Flowchart: Alternate Process 3">
          <a:extLst>
            <a:ext uri="{FF2B5EF4-FFF2-40B4-BE49-F238E27FC236}">
              <a16:creationId xmlns:a16="http://schemas.microsoft.com/office/drawing/2014/main" id="{0CC7F66C-13ED-4E07-B492-A33BE5E7FE94}"/>
            </a:ext>
          </a:extLst>
        </xdr:cNvPr>
        <xdr:cNvSpPr/>
      </xdr:nvSpPr>
      <xdr:spPr>
        <a:xfrm>
          <a:off x="9969230" y="1433527"/>
          <a:ext cx="2639378" cy="403953"/>
        </a:xfrm>
        <a:prstGeom prst="flowChartAlternateProcess">
          <a:avLst/>
        </a:prstGeom>
        <a:solidFill>
          <a:schemeClr val="bg1"/>
        </a:solidFill>
        <a:ln w="28575"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>
              <a:solidFill>
                <a:sysClr val="windowText" lastClr="000000"/>
              </a:solidFill>
            </a:rPr>
            <a:t>OPERATING PROFIT</a:t>
          </a:r>
          <a:r>
            <a:rPr lang="en-US" sz="1600" baseline="0">
              <a:solidFill>
                <a:sysClr val="windowText" lastClr="000000"/>
              </a:solidFill>
            </a:rPr>
            <a:t> MARGIN</a:t>
          </a:r>
          <a:endParaRPr lang="en-US" sz="16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16</xdr:col>
      <xdr:colOff>230320</xdr:colOff>
      <xdr:row>18</xdr:row>
      <xdr:rowOff>21710</xdr:rowOff>
    </xdr:from>
    <xdr:to>
      <xdr:col>20</xdr:col>
      <xdr:colOff>431298</xdr:colOff>
      <xdr:row>20</xdr:row>
      <xdr:rowOff>44662</xdr:rowOff>
    </xdr:to>
    <xdr:sp macro="" textlink="">
      <xdr:nvSpPr>
        <xdr:cNvPr id="5" name="Flowchart: Alternate Process 4">
          <a:extLst>
            <a:ext uri="{FF2B5EF4-FFF2-40B4-BE49-F238E27FC236}">
              <a16:creationId xmlns:a16="http://schemas.microsoft.com/office/drawing/2014/main" id="{D467B8A4-AC27-479E-A4D1-BECE138CB26E}"/>
            </a:ext>
          </a:extLst>
        </xdr:cNvPr>
        <xdr:cNvSpPr/>
      </xdr:nvSpPr>
      <xdr:spPr>
        <a:xfrm>
          <a:off x="9983920" y="3450710"/>
          <a:ext cx="2639378" cy="403952"/>
        </a:xfrm>
        <a:prstGeom prst="flowChartAlternateProcess">
          <a:avLst/>
        </a:prstGeom>
        <a:solidFill>
          <a:schemeClr val="bg1"/>
        </a:solidFill>
        <a:ln w="28575"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>
              <a:solidFill>
                <a:sysClr val="windowText" lastClr="000000"/>
              </a:solidFill>
            </a:rPr>
            <a:t>CURRENT</a:t>
          </a:r>
          <a:r>
            <a:rPr lang="en-US" sz="1600" baseline="0">
              <a:solidFill>
                <a:sysClr val="windowText" lastClr="000000"/>
              </a:solidFill>
            </a:rPr>
            <a:t> RATIO</a:t>
          </a:r>
          <a:endParaRPr lang="en-US" sz="16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16</xdr:col>
      <xdr:colOff>222057</xdr:colOff>
      <xdr:row>14</xdr:row>
      <xdr:rowOff>94978</xdr:rowOff>
    </xdr:from>
    <xdr:to>
      <xdr:col>20</xdr:col>
      <xdr:colOff>423035</xdr:colOff>
      <xdr:row>16</xdr:row>
      <xdr:rowOff>117930</xdr:rowOff>
    </xdr:to>
    <xdr:sp macro="" textlink="">
      <xdr:nvSpPr>
        <xdr:cNvPr id="6" name="Flowchart: Alternate Process 5">
          <a:extLst>
            <a:ext uri="{FF2B5EF4-FFF2-40B4-BE49-F238E27FC236}">
              <a16:creationId xmlns:a16="http://schemas.microsoft.com/office/drawing/2014/main" id="{5920B040-00F7-476B-9521-6DD803C387CA}"/>
            </a:ext>
          </a:extLst>
        </xdr:cNvPr>
        <xdr:cNvSpPr/>
      </xdr:nvSpPr>
      <xdr:spPr>
        <a:xfrm>
          <a:off x="9975657" y="2761978"/>
          <a:ext cx="2639378" cy="403952"/>
        </a:xfrm>
        <a:prstGeom prst="flowChartAlternateProcess">
          <a:avLst/>
        </a:prstGeom>
        <a:solidFill>
          <a:schemeClr val="bg1"/>
        </a:solidFill>
        <a:ln w="28575"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>
              <a:solidFill>
                <a:sysClr val="windowText" lastClr="000000"/>
              </a:solidFill>
            </a:rPr>
            <a:t>ASSET</a:t>
          </a:r>
          <a:r>
            <a:rPr lang="en-US" sz="1600" baseline="0">
              <a:solidFill>
                <a:sysClr val="windowText" lastClr="000000"/>
              </a:solidFill>
            </a:rPr>
            <a:t> TURNOVER RATIO</a:t>
          </a:r>
          <a:endParaRPr lang="en-US" sz="16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16</xdr:col>
      <xdr:colOff>225270</xdr:colOff>
      <xdr:row>10</xdr:row>
      <xdr:rowOff>178522</xdr:rowOff>
    </xdr:from>
    <xdr:to>
      <xdr:col>20</xdr:col>
      <xdr:colOff>426248</xdr:colOff>
      <xdr:row>13</xdr:row>
      <xdr:rowOff>16661</xdr:rowOff>
    </xdr:to>
    <xdr:sp macro="" textlink="">
      <xdr:nvSpPr>
        <xdr:cNvPr id="7" name="Flowchart: Alternate Process 6">
          <a:extLst>
            <a:ext uri="{FF2B5EF4-FFF2-40B4-BE49-F238E27FC236}">
              <a16:creationId xmlns:a16="http://schemas.microsoft.com/office/drawing/2014/main" id="{F24F1084-21BF-4369-8F83-22BBB7D8EE57}"/>
            </a:ext>
          </a:extLst>
        </xdr:cNvPr>
        <xdr:cNvSpPr/>
      </xdr:nvSpPr>
      <xdr:spPr>
        <a:xfrm>
          <a:off x="9978870" y="2083522"/>
          <a:ext cx="2639378" cy="409639"/>
        </a:xfrm>
        <a:prstGeom prst="flowChartAlternateProcess">
          <a:avLst/>
        </a:prstGeom>
        <a:solidFill>
          <a:schemeClr val="bg1"/>
        </a:solidFill>
        <a:ln w="28575"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>
              <a:solidFill>
                <a:sysClr val="windowText" lastClr="000000"/>
              </a:solidFill>
            </a:rPr>
            <a:t>DEBT</a:t>
          </a:r>
          <a:r>
            <a:rPr lang="en-US" sz="1600" baseline="0">
              <a:solidFill>
                <a:sysClr val="windowText" lastClr="000000"/>
              </a:solidFill>
            </a:rPr>
            <a:t> TO EQUITY RATIO</a:t>
          </a:r>
          <a:endParaRPr lang="en-US" sz="16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20</xdr:col>
      <xdr:colOff>500152</xdr:colOff>
      <xdr:row>7</xdr:row>
      <xdr:rowOff>103240</xdr:rowOff>
    </xdr:from>
    <xdr:to>
      <xdr:col>22</xdr:col>
      <xdr:colOff>382180</xdr:colOff>
      <xdr:row>9</xdr:row>
      <xdr:rowOff>145931</xdr:rowOff>
    </xdr:to>
    <xdr:sp macro="" textlink="">
      <xdr:nvSpPr>
        <xdr:cNvPr id="8" name="Flowchart: Alternate Process 7">
          <a:extLst>
            <a:ext uri="{FF2B5EF4-FFF2-40B4-BE49-F238E27FC236}">
              <a16:creationId xmlns:a16="http://schemas.microsoft.com/office/drawing/2014/main" id="{625E8B44-75B6-473E-83E4-7C35A4783838}"/>
            </a:ext>
          </a:extLst>
        </xdr:cNvPr>
        <xdr:cNvSpPr/>
      </xdr:nvSpPr>
      <xdr:spPr>
        <a:xfrm>
          <a:off x="12692152" y="1436740"/>
          <a:ext cx="1101228" cy="423691"/>
        </a:xfrm>
        <a:prstGeom prst="flowChartAlternateProcess">
          <a:avLst/>
        </a:prstGeom>
        <a:solidFill>
          <a:schemeClr val="bg1"/>
        </a:solidFill>
        <a:ln w="28575"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>
              <a:solidFill>
                <a:sysClr val="windowText" lastClr="000000"/>
              </a:solidFill>
            </a:rPr>
            <a:t>11.79%</a:t>
          </a:r>
        </a:p>
      </xdr:txBody>
    </xdr:sp>
    <xdr:clientData/>
  </xdr:twoCellAnchor>
  <xdr:twoCellAnchor>
    <xdr:from>
      <xdr:col>20</xdr:col>
      <xdr:colOff>503365</xdr:colOff>
      <xdr:row>10</xdr:row>
      <xdr:rowOff>163833</xdr:rowOff>
    </xdr:from>
    <xdr:to>
      <xdr:col>22</xdr:col>
      <xdr:colOff>385393</xdr:colOff>
      <xdr:row>13</xdr:row>
      <xdr:rowOff>21710</xdr:rowOff>
    </xdr:to>
    <xdr:sp macro="" textlink="">
      <xdr:nvSpPr>
        <xdr:cNvPr id="9" name="Flowchart: Alternate Process 8">
          <a:extLst>
            <a:ext uri="{FF2B5EF4-FFF2-40B4-BE49-F238E27FC236}">
              <a16:creationId xmlns:a16="http://schemas.microsoft.com/office/drawing/2014/main" id="{2F063F5D-FBA3-4D0C-93BF-5311D35C60D7}"/>
            </a:ext>
          </a:extLst>
        </xdr:cNvPr>
        <xdr:cNvSpPr/>
      </xdr:nvSpPr>
      <xdr:spPr>
        <a:xfrm>
          <a:off x="12695365" y="2068833"/>
          <a:ext cx="1101228" cy="429377"/>
        </a:xfrm>
        <a:prstGeom prst="flowChartAlternateProcess">
          <a:avLst/>
        </a:prstGeom>
        <a:solidFill>
          <a:schemeClr val="bg1"/>
        </a:solidFill>
        <a:ln w="28575"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>
              <a:solidFill>
                <a:sysClr val="windowText" lastClr="000000"/>
              </a:solidFill>
            </a:rPr>
            <a:t>0.02:1</a:t>
          </a:r>
        </a:p>
      </xdr:txBody>
    </xdr:sp>
    <xdr:clientData/>
  </xdr:twoCellAnchor>
  <xdr:twoCellAnchor>
    <xdr:from>
      <xdr:col>20</xdr:col>
      <xdr:colOff>506579</xdr:colOff>
      <xdr:row>14</xdr:row>
      <xdr:rowOff>86715</xdr:rowOff>
    </xdr:from>
    <xdr:to>
      <xdr:col>22</xdr:col>
      <xdr:colOff>388607</xdr:colOff>
      <xdr:row>16</xdr:row>
      <xdr:rowOff>129405</xdr:rowOff>
    </xdr:to>
    <xdr:sp macro="" textlink="">
      <xdr:nvSpPr>
        <xdr:cNvPr id="10" name="Flowchart: Alternate Process 9">
          <a:extLst>
            <a:ext uri="{FF2B5EF4-FFF2-40B4-BE49-F238E27FC236}">
              <a16:creationId xmlns:a16="http://schemas.microsoft.com/office/drawing/2014/main" id="{F5D1221D-FC35-49B6-8042-DEED5EB57D05}"/>
            </a:ext>
          </a:extLst>
        </xdr:cNvPr>
        <xdr:cNvSpPr/>
      </xdr:nvSpPr>
      <xdr:spPr>
        <a:xfrm>
          <a:off x="12698579" y="2753715"/>
          <a:ext cx="1101228" cy="423690"/>
        </a:xfrm>
        <a:prstGeom prst="flowChartAlternateProcess">
          <a:avLst/>
        </a:prstGeom>
        <a:solidFill>
          <a:schemeClr val="bg1"/>
        </a:solidFill>
        <a:ln w="28575"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>
              <a:solidFill>
                <a:sysClr val="windowText" lastClr="000000"/>
              </a:solidFill>
            </a:rPr>
            <a:t>2.08!:1</a:t>
          </a:r>
        </a:p>
      </xdr:txBody>
    </xdr:sp>
    <xdr:clientData/>
  </xdr:twoCellAnchor>
  <xdr:twoCellAnchor>
    <xdr:from>
      <xdr:col>20</xdr:col>
      <xdr:colOff>521268</xdr:colOff>
      <xdr:row>18</xdr:row>
      <xdr:rowOff>18497</xdr:rowOff>
    </xdr:from>
    <xdr:to>
      <xdr:col>22</xdr:col>
      <xdr:colOff>403296</xdr:colOff>
      <xdr:row>20</xdr:row>
      <xdr:rowOff>28135</xdr:rowOff>
    </xdr:to>
    <xdr:sp macro="" textlink="">
      <xdr:nvSpPr>
        <xdr:cNvPr id="11" name="Flowchart: Alternate Process 10">
          <a:extLst>
            <a:ext uri="{FF2B5EF4-FFF2-40B4-BE49-F238E27FC236}">
              <a16:creationId xmlns:a16="http://schemas.microsoft.com/office/drawing/2014/main" id="{A6B8CCD0-C13F-4EF9-AEBE-94434AA7F06D}"/>
            </a:ext>
          </a:extLst>
        </xdr:cNvPr>
        <xdr:cNvSpPr/>
      </xdr:nvSpPr>
      <xdr:spPr>
        <a:xfrm>
          <a:off x="12713268" y="3447497"/>
          <a:ext cx="1101228" cy="390638"/>
        </a:xfrm>
        <a:prstGeom prst="flowChartAlternateProcess">
          <a:avLst/>
        </a:prstGeom>
        <a:solidFill>
          <a:schemeClr val="bg1"/>
        </a:solidFill>
        <a:ln w="28575"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>
              <a:solidFill>
                <a:sysClr val="windowText" lastClr="000000"/>
              </a:solidFill>
            </a:rPr>
            <a:t>0.92:1</a:t>
          </a:r>
        </a:p>
      </xdr:txBody>
    </xdr:sp>
    <xdr:clientData/>
  </xdr:twoCellAnchor>
  <xdr:twoCellAnchor>
    <xdr:from>
      <xdr:col>0</xdr:col>
      <xdr:colOff>268273</xdr:colOff>
      <xdr:row>22</xdr:row>
      <xdr:rowOff>832</xdr:rowOff>
    </xdr:from>
    <xdr:to>
      <xdr:col>8</xdr:col>
      <xdr:colOff>375988</xdr:colOff>
      <xdr:row>36</xdr:row>
      <xdr:rowOff>25068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C754935C-5755-49A5-B6B9-64206DEC2E1E}"/>
            </a:ext>
          </a:extLst>
        </xdr:cNvPr>
        <xdr:cNvSpPr/>
      </xdr:nvSpPr>
      <xdr:spPr>
        <a:xfrm>
          <a:off x="268273" y="4191832"/>
          <a:ext cx="4984515" cy="2691236"/>
        </a:xfrm>
        <a:prstGeom prst="roundRect">
          <a:avLst/>
        </a:prstGeom>
        <a:solidFill>
          <a:sysClr val="window" lastClr="FFFFFF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  <a:p>
          <a:pPr algn="l"/>
          <a:endParaRPr lang="en-US" sz="1100"/>
        </a:p>
        <a:p>
          <a:pPr algn="l"/>
          <a:endParaRPr lang="en-US" sz="1100"/>
        </a:p>
        <a:p>
          <a:pPr algn="l"/>
          <a:endParaRPr lang="en-US" sz="1100"/>
        </a:p>
        <a:p>
          <a:pPr algn="ctr"/>
          <a:r>
            <a:rPr lang="en-US" sz="1800">
              <a:solidFill>
                <a:sysClr val="windowText" lastClr="000000"/>
              </a:solidFill>
            </a:rPr>
            <a:t>M-score = −4.84 + 0.92 × DSRI + 0.528 × GMI + 0.404 × AQI + 0.892 × SGI + 0.115 × DEPI −0.172 × SGAI + 4.679 × TATA − 0.327 × LVGI </a:t>
          </a:r>
        </a:p>
        <a:p>
          <a:pPr algn="ctr"/>
          <a:br>
            <a:rPr lang="en-US" sz="1800">
              <a:solidFill>
                <a:sysClr val="windowText" lastClr="000000"/>
              </a:solidFill>
            </a:rPr>
          </a:br>
          <a:endParaRPr lang="en-US" sz="1800">
            <a:solidFill>
              <a:sysClr val="windowText" lastClr="000000"/>
            </a:solidFill>
          </a:endParaRPr>
        </a:p>
        <a:p>
          <a:pPr algn="ctr"/>
          <a:endParaRPr lang="en-US" sz="1600">
            <a:solidFill>
              <a:sysClr val="windowText" lastClr="000000"/>
            </a:solidFill>
          </a:endParaRPr>
        </a:p>
        <a:p>
          <a:pPr algn="ctr"/>
          <a:endParaRPr lang="en-US" sz="1600">
            <a:solidFill>
              <a:sysClr val="windowText" lastClr="000000"/>
            </a:solidFill>
          </a:endParaRPr>
        </a:p>
      </xdr:txBody>
    </xdr:sp>
    <xdr:clientData/>
  </xdr:twoCellAnchor>
  <xdr:oneCellAnchor>
    <xdr:from>
      <xdr:col>0</xdr:col>
      <xdr:colOff>427393</xdr:colOff>
      <xdr:row>22</xdr:row>
      <xdr:rowOff>99907</xdr:rowOff>
    </xdr:from>
    <xdr:ext cx="4713214" cy="781111"/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9D1E191B-C2D5-4784-A3C8-6A778EC052EF}"/>
            </a:ext>
          </a:extLst>
        </xdr:cNvPr>
        <xdr:cNvSpPr/>
      </xdr:nvSpPr>
      <xdr:spPr>
        <a:xfrm>
          <a:off x="427393" y="4290907"/>
          <a:ext cx="4713214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44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BENEISH M - SCORE</a:t>
          </a:r>
        </a:p>
      </xdr:txBody>
    </xdr:sp>
    <xdr:clientData/>
  </xdr:oneCellAnchor>
  <xdr:oneCellAnchor>
    <xdr:from>
      <xdr:col>2</xdr:col>
      <xdr:colOff>341287</xdr:colOff>
      <xdr:row>30</xdr:row>
      <xdr:rowOff>127302</xdr:rowOff>
    </xdr:from>
    <xdr:ext cx="2349108" cy="937629"/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3B963424-4AC0-4C16-8105-BD9E7AC74C9F}"/>
            </a:ext>
          </a:extLst>
        </xdr:cNvPr>
        <xdr:cNvSpPr/>
      </xdr:nvSpPr>
      <xdr:spPr>
        <a:xfrm>
          <a:off x="1560487" y="5842302"/>
          <a:ext cx="2349108" cy="93762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-5.1672</a:t>
          </a:r>
        </a:p>
      </xdr:txBody>
    </xdr:sp>
    <xdr:clientData/>
  </xdr:oneCellAnchor>
  <xdr:twoCellAnchor>
    <xdr:from>
      <xdr:col>1</xdr:col>
      <xdr:colOff>234675</xdr:colOff>
      <xdr:row>0</xdr:row>
      <xdr:rowOff>179456</xdr:rowOff>
    </xdr:from>
    <xdr:to>
      <xdr:col>3</xdr:col>
      <xdr:colOff>496957</xdr:colOff>
      <xdr:row>5</xdr:row>
      <xdr:rowOff>82826</xdr:rowOff>
    </xdr:to>
    <xdr:sp macro="[0]!Ashok_Leyland" textlink="">
      <xdr:nvSpPr>
        <xdr:cNvPr id="42" name="Rectangle: Rounded Corners 41">
          <a:extLst>
            <a:ext uri="{FF2B5EF4-FFF2-40B4-BE49-F238E27FC236}">
              <a16:creationId xmlns:a16="http://schemas.microsoft.com/office/drawing/2014/main" id="{43DA7F7F-9629-4318-AA3C-AFB8F7251D26}"/>
            </a:ext>
          </a:extLst>
        </xdr:cNvPr>
        <xdr:cNvSpPr/>
      </xdr:nvSpPr>
      <xdr:spPr>
        <a:xfrm>
          <a:off x="842066" y="179456"/>
          <a:ext cx="1477065" cy="869674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>
                  <a:lumMod val="65000"/>
                  <a:lumOff val="35000"/>
                </a:schemeClr>
              </a:solidFill>
            </a:rPr>
            <a:t>Ashok Leyland</a:t>
          </a:r>
        </a:p>
      </xdr:txBody>
    </xdr:sp>
    <xdr:clientData/>
  </xdr:twoCellAnchor>
  <xdr:twoCellAnchor>
    <xdr:from>
      <xdr:col>4</xdr:col>
      <xdr:colOff>55219</xdr:colOff>
      <xdr:row>0</xdr:row>
      <xdr:rowOff>179456</xdr:rowOff>
    </xdr:from>
    <xdr:to>
      <xdr:col>6</xdr:col>
      <xdr:colOff>317501</xdr:colOff>
      <xdr:row>5</xdr:row>
      <xdr:rowOff>82826</xdr:rowOff>
    </xdr:to>
    <xdr:sp macro="[0]!Bajaj_Auto" textlink="">
      <xdr:nvSpPr>
        <xdr:cNvPr id="43" name="Rectangle: Rounded Corners 42">
          <a:extLst>
            <a:ext uri="{FF2B5EF4-FFF2-40B4-BE49-F238E27FC236}">
              <a16:creationId xmlns:a16="http://schemas.microsoft.com/office/drawing/2014/main" id="{B38FB9D4-9D01-4807-AABD-C79912BB7BD4}"/>
            </a:ext>
          </a:extLst>
        </xdr:cNvPr>
        <xdr:cNvSpPr/>
      </xdr:nvSpPr>
      <xdr:spPr>
        <a:xfrm>
          <a:off x="2484784" y="179456"/>
          <a:ext cx="1477065" cy="869674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>
                  <a:lumMod val="65000"/>
                  <a:lumOff val="35000"/>
                </a:schemeClr>
              </a:solidFill>
            </a:rPr>
            <a:t>Bajaj Auto</a:t>
          </a:r>
        </a:p>
      </xdr:txBody>
    </xdr:sp>
    <xdr:clientData/>
  </xdr:twoCellAnchor>
  <xdr:twoCellAnchor>
    <xdr:from>
      <xdr:col>6</xdr:col>
      <xdr:colOff>497510</xdr:colOff>
      <xdr:row>0</xdr:row>
      <xdr:rowOff>180008</xdr:rowOff>
    </xdr:from>
    <xdr:to>
      <xdr:col>9</xdr:col>
      <xdr:colOff>152401</xdr:colOff>
      <xdr:row>5</xdr:row>
      <xdr:rowOff>83378</xdr:rowOff>
    </xdr:to>
    <xdr:sp macro="[0]!Eicher_Motors" textlink="">
      <xdr:nvSpPr>
        <xdr:cNvPr id="44" name="Rectangle: Rounded Corners 43">
          <a:extLst>
            <a:ext uri="{FF2B5EF4-FFF2-40B4-BE49-F238E27FC236}">
              <a16:creationId xmlns:a16="http://schemas.microsoft.com/office/drawing/2014/main" id="{DDB5125B-1A10-4739-AE56-C5D05B1013B0}"/>
            </a:ext>
          </a:extLst>
        </xdr:cNvPr>
        <xdr:cNvSpPr/>
      </xdr:nvSpPr>
      <xdr:spPr>
        <a:xfrm>
          <a:off x="4141858" y="180008"/>
          <a:ext cx="1477065" cy="869674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>
                  <a:lumMod val="65000"/>
                  <a:lumOff val="35000"/>
                </a:schemeClr>
              </a:solidFill>
            </a:rPr>
            <a:t>Eicher Mototrs</a:t>
          </a:r>
        </a:p>
      </xdr:txBody>
    </xdr:sp>
    <xdr:clientData/>
  </xdr:twoCellAnchor>
  <xdr:twoCellAnchor>
    <xdr:from>
      <xdr:col>9</xdr:col>
      <xdr:colOff>304802</xdr:colOff>
      <xdr:row>0</xdr:row>
      <xdr:rowOff>180560</xdr:rowOff>
    </xdr:from>
    <xdr:to>
      <xdr:col>11</xdr:col>
      <xdr:colOff>567085</xdr:colOff>
      <xdr:row>5</xdr:row>
      <xdr:rowOff>83930</xdr:rowOff>
    </xdr:to>
    <xdr:sp macro="[0]!Hero_Motocorp" textlink="">
      <xdr:nvSpPr>
        <xdr:cNvPr id="45" name="Rectangle: Rounded Corners 44">
          <a:extLst>
            <a:ext uri="{FF2B5EF4-FFF2-40B4-BE49-F238E27FC236}">
              <a16:creationId xmlns:a16="http://schemas.microsoft.com/office/drawing/2014/main" id="{8098D750-E102-450F-A7E0-9634529AE611}"/>
            </a:ext>
          </a:extLst>
        </xdr:cNvPr>
        <xdr:cNvSpPr/>
      </xdr:nvSpPr>
      <xdr:spPr>
        <a:xfrm>
          <a:off x="5771324" y="180560"/>
          <a:ext cx="1477065" cy="869674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tx1">
                  <a:lumMod val="65000"/>
                  <a:lumOff val="35000"/>
                </a:schemeClr>
              </a:solidFill>
            </a:rPr>
            <a:t>Hero Motocorp</a:t>
          </a:r>
        </a:p>
      </xdr:txBody>
    </xdr:sp>
    <xdr:clientData/>
  </xdr:twoCellAnchor>
  <xdr:twoCellAnchor>
    <xdr:from>
      <xdr:col>12</xdr:col>
      <xdr:colOff>112092</xdr:colOff>
      <xdr:row>1</xdr:row>
      <xdr:rowOff>1655</xdr:rowOff>
    </xdr:from>
    <xdr:to>
      <xdr:col>14</xdr:col>
      <xdr:colOff>374375</xdr:colOff>
      <xdr:row>5</xdr:row>
      <xdr:rowOff>98286</xdr:rowOff>
    </xdr:to>
    <xdr:sp macro="[0]!Maruti_Suzuki" textlink="">
      <xdr:nvSpPr>
        <xdr:cNvPr id="46" name="Rectangle: Rounded Corners 45">
          <a:extLst>
            <a:ext uri="{FF2B5EF4-FFF2-40B4-BE49-F238E27FC236}">
              <a16:creationId xmlns:a16="http://schemas.microsoft.com/office/drawing/2014/main" id="{7FBABB7F-21D0-4E51-8ED8-7265A7DAC9AB}"/>
            </a:ext>
          </a:extLst>
        </xdr:cNvPr>
        <xdr:cNvSpPr/>
      </xdr:nvSpPr>
      <xdr:spPr>
        <a:xfrm>
          <a:off x="7400788" y="194916"/>
          <a:ext cx="1477065" cy="869674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>
                  <a:lumMod val="65000"/>
                  <a:lumOff val="35000"/>
                </a:schemeClr>
              </a:solidFill>
            </a:rPr>
            <a:t>Maruti Suzuki</a:t>
          </a:r>
        </a:p>
      </xdr:txBody>
    </xdr:sp>
    <xdr:clientData/>
  </xdr:twoCellAnchor>
  <xdr:twoCellAnchor>
    <xdr:from>
      <xdr:col>14</xdr:col>
      <xdr:colOff>540580</xdr:colOff>
      <xdr:row>0</xdr:row>
      <xdr:rowOff>181664</xdr:rowOff>
    </xdr:from>
    <xdr:to>
      <xdr:col>17</xdr:col>
      <xdr:colOff>195471</xdr:colOff>
      <xdr:row>5</xdr:row>
      <xdr:rowOff>85034</xdr:rowOff>
    </xdr:to>
    <xdr:sp macro="[0]!Tata_Motors" textlink="">
      <xdr:nvSpPr>
        <xdr:cNvPr id="47" name="Rectangle: Rounded Corners 46">
          <a:extLst>
            <a:ext uri="{FF2B5EF4-FFF2-40B4-BE49-F238E27FC236}">
              <a16:creationId xmlns:a16="http://schemas.microsoft.com/office/drawing/2014/main" id="{8A08DF73-7E15-4E09-8399-AC7EB09C61A4}"/>
            </a:ext>
          </a:extLst>
        </xdr:cNvPr>
        <xdr:cNvSpPr/>
      </xdr:nvSpPr>
      <xdr:spPr>
        <a:xfrm>
          <a:off x="9044058" y="181664"/>
          <a:ext cx="1477065" cy="869674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>
                  <a:lumMod val="65000"/>
                  <a:lumOff val="35000"/>
                </a:schemeClr>
              </a:solidFill>
            </a:rPr>
            <a:t>Tata Motors</a:t>
          </a:r>
        </a:p>
      </xdr:txBody>
    </xdr:sp>
    <xdr:clientData/>
  </xdr:twoCellAnchor>
  <xdr:twoCellAnchor>
    <xdr:from>
      <xdr:col>17</xdr:col>
      <xdr:colOff>345110</xdr:colOff>
      <xdr:row>1</xdr:row>
      <xdr:rowOff>1</xdr:rowOff>
    </xdr:from>
    <xdr:to>
      <xdr:col>20</xdr:col>
      <xdr:colOff>1</xdr:colOff>
      <xdr:row>5</xdr:row>
      <xdr:rowOff>96632</xdr:rowOff>
    </xdr:to>
    <xdr:sp macro="[0]!TVS_Motors" textlink="">
      <xdr:nvSpPr>
        <xdr:cNvPr id="48" name="Rectangle: Rounded Corners 47">
          <a:extLst>
            <a:ext uri="{FF2B5EF4-FFF2-40B4-BE49-F238E27FC236}">
              <a16:creationId xmlns:a16="http://schemas.microsoft.com/office/drawing/2014/main" id="{C1B79C9B-6389-4CF1-B5B8-2A8631C338E8}"/>
            </a:ext>
          </a:extLst>
        </xdr:cNvPr>
        <xdr:cNvSpPr/>
      </xdr:nvSpPr>
      <xdr:spPr>
        <a:xfrm>
          <a:off x="10670762" y="193262"/>
          <a:ext cx="1477065" cy="869674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>
                  <a:lumMod val="65000"/>
                  <a:lumOff val="35000"/>
                </a:schemeClr>
              </a:solidFill>
            </a:rPr>
            <a:t>TVS Motors</a:t>
          </a:r>
        </a:p>
      </xdr:txBody>
    </xdr:sp>
    <xdr:clientData/>
  </xdr:twoCellAnchor>
  <xdr:twoCellAnchor>
    <xdr:from>
      <xdr:col>20</xdr:col>
      <xdr:colOff>152399</xdr:colOff>
      <xdr:row>1</xdr:row>
      <xdr:rowOff>552</xdr:rowOff>
    </xdr:from>
    <xdr:to>
      <xdr:col>22</xdr:col>
      <xdr:colOff>331304</xdr:colOff>
      <xdr:row>5</xdr:row>
      <xdr:rowOff>97183</xdr:rowOff>
    </xdr:to>
    <xdr:sp macro="[0]!Paytm_Nifty_Auto" textlink="">
      <xdr:nvSpPr>
        <xdr:cNvPr id="49" name="Rectangle: Rounded Corners 48">
          <a:extLst>
            <a:ext uri="{FF2B5EF4-FFF2-40B4-BE49-F238E27FC236}">
              <a16:creationId xmlns:a16="http://schemas.microsoft.com/office/drawing/2014/main" id="{72FF31CA-2904-4E94-BFA8-BD29A5F57DD1}"/>
            </a:ext>
          </a:extLst>
        </xdr:cNvPr>
        <xdr:cNvSpPr/>
      </xdr:nvSpPr>
      <xdr:spPr>
        <a:xfrm>
          <a:off x="12300225" y="193813"/>
          <a:ext cx="1393688" cy="869674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>
                  <a:lumMod val="65000"/>
                  <a:lumOff val="35000"/>
                </a:schemeClr>
              </a:solidFill>
            </a:rPr>
            <a:t>Paytm</a:t>
          </a:r>
          <a:r>
            <a:rPr lang="en-US" sz="2000" baseline="0">
              <a:solidFill>
                <a:schemeClr val="tx1">
                  <a:lumMod val="65000"/>
                  <a:lumOff val="35000"/>
                </a:schemeClr>
              </a:solidFill>
            </a:rPr>
            <a:t> Nifty Auto</a:t>
          </a:r>
          <a:endParaRPr lang="en-US" sz="200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 editAs="oneCell">
    <xdr:from>
      <xdr:col>10</xdr:col>
      <xdr:colOff>276085</xdr:colOff>
      <xdr:row>7</xdr:row>
      <xdr:rowOff>55217</xdr:rowOff>
    </xdr:from>
    <xdr:to>
      <xdr:col>15</xdr:col>
      <xdr:colOff>138041</xdr:colOff>
      <xdr:row>20</xdr:row>
      <xdr:rowOff>42549</xdr:rowOff>
    </xdr:to>
    <xdr:pic>
      <xdr:nvPicPr>
        <xdr:cNvPr id="50" name="Picture 49" descr="C:\Users\hp\Downloads\WhatsApp Image 2024-02-26 at 9.20.09 PM.jpeg">
          <a:extLst>
            <a:ext uri="{FF2B5EF4-FFF2-40B4-BE49-F238E27FC236}">
              <a16:creationId xmlns:a16="http://schemas.microsoft.com/office/drawing/2014/main" id="{70BB0BA7-53ED-40EF-A0AD-94066DB52B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49998" y="1408043"/>
          <a:ext cx="2898913" cy="24997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455544</xdr:colOff>
      <xdr:row>21</xdr:row>
      <xdr:rowOff>165652</xdr:rowOff>
    </xdr:from>
    <xdr:to>
      <xdr:col>15</xdr:col>
      <xdr:colOff>477948</xdr:colOff>
      <xdr:row>28</xdr:row>
      <xdr:rowOff>165653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FA6C8888-CD2B-45C1-BFB0-D0A78D08CB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14674" y="4224130"/>
          <a:ext cx="4274144" cy="1352827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455545</xdr:colOff>
      <xdr:row>28</xdr:row>
      <xdr:rowOff>165653</xdr:rowOff>
    </xdr:from>
    <xdr:to>
      <xdr:col>15</xdr:col>
      <xdr:colOff>496956</xdr:colOff>
      <xdr:row>36</xdr:row>
      <xdr:rowOff>12528</xdr:rowOff>
    </xdr:to>
    <xdr:pic>
      <xdr:nvPicPr>
        <xdr:cNvPr id="52" name="Picture 51">
          <a:extLst>
            <a:ext uri="{FF2B5EF4-FFF2-40B4-BE49-F238E27FC236}">
              <a16:creationId xmlns:a16="http://schemas.microsoft.com/office/drawing/2014/main" id="{48180D06-2048-42F6-BB30-5752CB5EA5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14675" y="5576957"/>
          <a:ext cx="4293151" cy="1392962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15</xdr:col>
      <xdr:colOff>579781</xdr:colOff>
      <xdr:row>21</xdr:row>
      <xdr:rowOff>110433</xdr:rowOff>
    </xdr:from>
    <xdr:to>
      <xdr:col>23</xdr:col>
      <xdr:colOff>372717</xdr:colOff>
      <xdr:row>36</xdr:row>
      <xdr:rowOff>13805</xdr:rowOff>
    </xdr:to>
    <xdr:graphicFrame macro="">
      <xdr:nvGraphicFramePr>
        <xdr:cNvPr id="53" name="Chart 52">
          <a:extLst>
            <a:ext uri="{FF2B5EF4-FFF2-40B4-BE49-F238E27FC236}">
              <a16:creationId xmlns:a16="http://schemas.microsoft.com/office/drawing/2014/main" id="{2806F80D-3637-4B7B-930F-A45BD03BAE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15119</xdr:colOff>
      <xdr:row>6</xdr:row>
      <xdr:rowOff>125648</xdr:rowOff>
    </xdr:from>
    <xdr:to>
      <xdr:col>9</xdr:col>
      <xdr:colOff>162872</xdr:colOff>
      <xdr:row>20</xdr:row>
      <xdr:rowOff>126008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70165E7-05B1-4F16-B866-F6F50DB9A6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215630</xdr:colOff>
      <xdr:row>7</xdr:row>
      <xdr:rowOff>100027</xdr:rowOff>
    </xdr:from>
    <xdr:to>
      <xdr:col>20</xdr:col>
      <xdr:colOff>416608</xdr:colOff>
      <xdr:row>9</xdr:row>
      <xdr:rowOff>122980</xdr:rowOff>
    </xdr:to>
    <xdr:sp macro="" textlink="">
      <xdr:nvSpPr>
        <xdr:cNvPr id="4" name="Flowchart: Alternate Process 3">
          <a:extLst>
            <a:ext uri="{FF2B5EF4-FFF2-40B4-BE49-F238E27FC236}">
              <a16:creationId xmlns:a16="http://schemas.microsoft.com/office/drawing/2014/main" id="{877175AD-BACD-4573-982A-8EF508596FD6}"/>
            </a:ext>
          </a:extLst>
        </xdr:cNvPr>
        <xdr:cNvSpPr/>
      </xdr:nvSpPr>
      <xdr:spPr>
        <a:xfrm>
          <a:off x="9969230" y="1433527"/>
          <a:ext cx="2639378" cy="403953"/>
        </a:xfrm>
        <a:prstGeom prst="flowChartAlternateProcess">
          <a:avLst/>
        </a:prstGeom>
        <a:solidFill>
          <a:schemeClr val="bg1"/>
        </a:solidFill>
        <a:ln w="28575"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>
              <a:solidFill>
                <a:sysClr val="windowText" lastClr="000000"/>
              </a:solidFill>
            </a:rPr>
            <a:t>OPERATING PROFIT</a:t>
          </a:r>
          <a:r>
            <a:rPr lang="en-US" sz="1600" baseline="0">
              <a:solidFill>
                <a:sysClr val="windowText" lastClr="000000"/>
              </a:solidFill>
            </a:rPr>
            <a:t> MARGIN</a:t>
          </a:r>
          <a:endParaRPr lang="en-US" sz="16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16</xdr:col>
      <xdr:colOff>230320</xdr:colOff>
      <xdr:row>18</xdr:row>
      <xdr:rowOff>21710</xdr:rowOff>
    </xdr:from>
    <xdr:to>
      <xdr:col>20</xdr:col>
      <xdr:colOff>431298</xdr:colOff>
      <xdr:row>20</xdr:row>
      <xdr:rowOff>44662</xdr:rowOff>
    </xdr:to>
    <xdr:sp macro="" textlink="">
      <xdr:nvSpPr>
        <xdr:cNvPr id="5" name="Flowchart: Alternate Process 4">
          <a:extLst>
            <a:ext uri="{FF2B5EF4-FFF2-40B4-BE49-F238E27FC236}">
              <a16:creationId xmlns:a16="http://schemas.microsoft.com/office/drawing/2014/main" id="{E4BA9A4E-ECB3-49A5-BA43-96877A896760}"/>
            </a:ext>
          </a:extLst>
        </xdr:cNvPr>
        <xdr:cNvSpPr/>
      </xdr:nvSpPr>
      <xdr:spPr>
        <a:xfrm>
          <a:off x="9983920" y="3450710"/>
          <a:ext cx="2639378" cy="403952"/>
        </a:xfrm>
        <a:prstGeom prst="flowChartAlternateProcess">
          <a:avLst/>
        </a:prstGeom>
        <a:solidFill>
          <a:schemeClr val="bg1"/>
        </a:solidFill>
        <a:ln w="28575"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>
              <a:solidFill>
                <a:sysClr val="windowText" lastClr="000000"/>
              </a:solidFill>
            </a:rPr>
            <a:t>CURRENT</a:t>
          </a:r>
          <a:r>
            <a:rPr lang="en-US" sz="1600" baseline="0">
              <a:solidFill>
                <a:sysClr val="windowText" lastClr="000000"/>
              </a:solidFill>
            </a:rPr>
            <a:t> RATIO</a:t>
          </a:r>
          <a:endParaRPr lang="en-US" sz="16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16</xdr:col>
      <xdr:colOff>222057</xdr:colOff>
      <xdr:row>14</xdr:row>
      <xdr:rowOff>94978</xdr:rowOff>
    </xdr:from>
    <xdr:to>
      <xdr:col>20</xdr:col>
      <xdr:colOff>423035</xdr:colOff>
      <xdr:row>16</xdr:row>
      <xdr:rowOff>117930</xdr:rowOff>
    </xdr:to>
    <xdr:sp macro="" textlink="">
      <xdr:nvSpPr>
        <xdr:cNvPr id="6" name="Flowchart: Alternate Process 5">
          <a:extLst>
            <a:ext uri="{FF2B5EF4-FFF2-40B4-BE49-F238E27FC236}">
              <a16:creationId xmlns:a16="http://schemas.microsoft.com/office/drawing/2014/main" id="{C25501A5-A0DD-4454-9972-F003AF852D46}"/>
            </a:ext>
          </a:extLst>
        </xdr:cNvPr>
        <xdr:cNvSpPr/>
      </xdr:nvSpPr>
      <xdr:spPr>
        <a:xfrm>
          <a:off x="9975657" y="2761978"/>
          <a:ext cx="2639378" cy="403952"/>
        </a:xfrm>
        <a:prstGeom prst="flowChartAlternateProcess">
          <a:avLst/>
        </a:prstGeom>
        <a:solidFill>
          <a:schemeClr val="bg1"/>
        </a:solidFill>
        <a:ln w="28575"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>
              <a:solidFill>
                <a:sysClr val="windowText" lastClr="000000"/>
              </a:solidFill>
            </a:rPr>
            <a:t>ASSET</a:t>
          </a:r>
          <a:r>
            <a:rPr lang="en-US" sz="1600" baseline="0">
              <a:solidFill>
                <a:sysClr val="windowText" lastClr="000000"/>
              </a:solidFill>
            </a:rPr>
            <a:t> TURNOVER RATIO</a:t>
          </a:r>
          <a:endParaRPr lang="en-US" sz="16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16</xdr:col>
      <xdr:colOff>225270</xdr:colOff>
      <xdr:row>10</xdr:row>
      <xdr:rowOff>178522</xdr:rowOff>
    </xdr:from>
    <xdr:to>
      <xdr:col>20</xdr:col>
      <xdr:colOff>426248</xdr:colOff>
      <xdr:row>13</xdr:row>
      <xdr:rowOff>16661</xdr:rowOff>
    </xdr:to>
    <xdr:sp macro="" textlink="">
      <xdr:nvSpPr>
        <xdr:cNvPr id="7" name="Flowchart: Alternate Process 6">
          <a:extLst>
            <a:ext uri="{FF2B5EF4-FFF2-40B4-BE49-F238E27FC236}">
              <a16:creationId xmlns:a16="http://schemas.microsoft.com/office/drawing/2014/main" id="{959C8BB5-5D7B-4094-9C15-E192FEEF232D}"/>
            </a:ext>
          </a:extLst>
        </xdr:cNvPr>
        <xdr:cNvSpPr/>
      </xdr:nvSpPr>
      <xdr:spPr>
        <a:xfrm>
          <a:off x="9978870" y="2083522"/>
          <a:ext cx="2639378" cy="409639"/>
        </a:xfrm>
        <a:prstGeom prst="flowChartAlternateProcess">
          <a:avLst/>
        </a:prstGeom>
        <a:solidFill>
          <a:schemeClr val="bg1"/>
        </a:solidFill>
        <a:ln w="28575"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>
              <a:solidFill>
                <a:sysClr val="windowText" lastClr="000000"/>
              </a:solidFill>
            </a:rPr>
            <a:t>DEBT</a:t>
          </a:r>
          <a:r>
            <a:rPr lang="en-US" sz="1600" baseline="0">
              <a:solidFill>
                <a:sysClr val="windowText" lastClr="000000"/>
              </a:solidFill>
            </a:rPr>
            <a:t> TO EQUITY RATIO</a:t>
          </a:r>
          <a:endParaRPr lang="en-US" sz="16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20</xdr:col>
      <xdr:colOff>500152</xdr:colOff>
      <xdr:row>7</xdr:row>
      <xdr:rowOff>103240</xdr:rowOff>
    </xdr:from>
    <xdr:to>
      <xdr:col>22</xdr:col>
      <xdr:colOff>382180</xdr:colOff>
      <xdr:row>9</xdr:row>
      <xdr:rowOff>145931</xdr:rowOff>
    </xdr:to>
    <xdr:sp macro="" textlink="">
      <xdr:nvSpPr>
        <xdr:cNvPr id="8" name="Flowchart: Alternate Process 7">
          <a:extLst>
            <a:ext uri="{FF2B5EF4-FFF2-40B4-BE49-F238E27FC236}">
              <a16:creationId xmlns:a16="http://schemas.microsoft.com/office/drawing/2014/main" id="{39F50BB8-E986-4E43-A297-012F813E1434}"/>
            </a:ext>
          </a:extLst>
        </xdr:cNvPr>
        <xdr:cNvSpPr/>
      </xdr:nvSpPr>
      <xdr:spPr>
        <a:xfrm>
          <a:off x="12692152" y="1436740"/>
          <a:ext cx="1101228" cy="423691"/>
        </a:xfrm>
        <a:prstGeom prst="flowChartAlternateProcess">
          <a:avLst/>
        </a:prstGeom>
        <a:solidFill>
          <a:schemeClr val="bg1"/>
        </a:solidFill>
        <a:ln w="28575"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>
              <a:solidFill>
                <a:sysClr val="windowText" lastClr="000000"/>
              </a:solidFill>
            </a:rPr>
            <a:t>9.36%</a:t>
          </a:r>
        </a:p>
      </xdr:txBody>
    </xdr:sp>
    <xdr:clientData/>
  </xdr:twoCellAnchor>
  <xdr:twoCellAnchor>
    <xdr:from>
      <xdr:col>20</xdr:col>
      <xdr:colOff>503365</xdr:colOff>
      <xdr:row>10</xdr:row>
      <xdr:rowOff>163833</xdr:rowOff>
    </xdr:from>
    <xdr:to>
      <xdr:col>22</xdr:col>
      <xdr:colOff>385393</xdr:colOff>
      <xdr:row>13</xdr:row>
      <xdr:rowOff>21710</xdr:rowOff>
    </xdr:to>
    <xdr:sp macro="" textlink="">
      <xdr:nvSpPr>
        <xdr:cNvPr id="9" name="Flowchart: Alternate Process 8">
          <a:extLst>
            <a:ext uri="{FF2B5EF4-FFF2-40B4-BE49-F238E27FC236}">
              <a16:creationId xmlns:a16="http://schemas.microsoft.com/office/drawing/2014/main" id="{B4E46E53-45F0-40AB-BA48-1DB00F3BD3F6}"/>
            </a:ext>
          </a:extLst>
        </xdr:cNvPr>
        <xdr:cNvSpPr/>
      </xdr:nvSpPr>
      <xdr:spPr>
        <a:xfrm>
          <a:off x="12695365" y="2068833"/>
          <a:ext cx="1101228" cy="429377"/>
        </a:xfrm>
        <a:prstGeom prst="flowChartAlternateProcess">
          <a:avLst/>
        </a:prstGeom>
        <a:solidFill>
          <a:schemeClr val="bg1"/>
        </a:solidFill>
        <a:ln w="28575"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>
              <a:solidFill>
                <a:sysClr val="windowText" lastClr="000000"/>
              </a:solidFill>
            </a:rPr>
            <a:t>0.02:1</a:t>
          </a:r>
        </a:p>
      </xdr:txBody>
    </xdr:sp>
    <xdr:clientData/>
  </xdr:twoCellAnchor>
  <xdr:twoCellAnchor>
    <xdr:from>
      <xdr:col>20</xdr:col>
      <xdr:colOff>506579</xdr:colOff>
      <xdr:row>14</xdr:row>
      <xdr:rowOff>86715</xdr:rowOff>
    </xdr:from>
    <xdr:to>
      <xdr:col>22</xdr:col>
      <xdr:colOff>388607</xdr:colOff>
      <xdr:row>16</xdr:row>
      <xdr:rowOff>129405</xdr:rowOff>
    </xdr:to>
    <xdr:sp macro="" textlink="">
      <xdr:nvSpPr>
        <xdr:cNvPr id="10" name="Flowchart: Alternate Process 9">
          <a:extLst>
            <a:ext uri="{FF2B5EF4-FFF2-40B4-BE49-F238E27FC236}">
              <a16:creationId xmlns:a16="http://schemas.microsoft.com/office/drawing/2014/main" id="{8FB8BD8E-3BF8-411B-8505-209CBFC60500}"/>
            </a:ext>
          </a:extLst>
        </xdr:cNvPr>
        <xdr:cNvSpPr/>
      </xdr:nvSpPr>
      <xdr:spPr>
        <a:xfrm>
          <a:off x="12698579" y="2753715"/>
          <a:ext cx="1101228" cy="423690"/>
        </a:xfrm>
        <a:prstGeom prst="flowChartAlternateProcess">
          <a:avLst/>
        </a:prstGeom>
        <a:solidFill>
          <a:schemeClr val="bg1"/>
        </a:solidFill>
        <a:ln w="28575"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>
              <a:solidFill>
                <a:sysClr val="windowText" lastClr="000000"/>
              </a:solidFill>
            </a:rPr>
            <a:t>2.03!:1</a:t>
          </a:r>
        </a:p>
      </xdr:txBody>
    </xdr:sp>
    <xdr:clientData/>
  </xdr:twoCellAnchor>
  <xdr:twoCellAnchor>
    <xdr:from>
      <xdr:col>20</xdr:col>
      <xdr:colOff>521268</xdr:colOff>
      <xdr:row>18</xdr:row>
      <xdr:rowOff>18497</xdr:rowOff>
    </xdr:from>
    <xdr:to>
      <xdr:col>22</xdr:col>
      <xdr:colOff>403296</xdr:colOff>
      <xdr:row>20</xdr:row>
      <xdr:rowOff>28135</xdr:rowOff>
    </xdr:to>
    <xdr:sp macro="" textlink="">
      <xdr:nvSpPr>
        <xdr:cNvPr id="11" name="Flowchart: Alternate Process 10">
          <a:extLst>
            <a:ext uri="{FF2B5EF4-FFF2-40B4-BE49-F238E27FC236}">
              <a16:creationId xmlns:a16="http://schemas.microsoft.com/office/drawing/2014/main" id="{C855F6C9-57AE-4D2B-83BD-40B0EE287A71}"/>
            </a:ext>
          </a:extLst>
        </xdr:cNvPr>
        <xdr:cNvSpPr/>
      </xdr:nvSpPr>
      <xdr:spPr>
        <a:xfrm>
          <a:off x="12713268" y="3447497"/>
          <a:ext cx="1101228" cy="390638"/>
        </a:xfrm>
        <a:prstGeom prst="flowChartAlternateProcess">
          <a:avLst/>
        </a:prstGeom>
        <a:solidFill>
          <a:schemeClr val="bg1"/>
        </a:solidFill>
        <a:ln w="28575"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>
              <a:solidFill>
                <a:sysClr val="windowText" lastClr="000000"/>
              </a:solidFill>
            </a:rPr>
            <a:t>0.61:1</a:t>
          </a:r>
        </a:p>
      </xdr:txBody>
    </xdr:sp>
    <xdr:clientData/>
  </xdr:twoCellAnchor>
  <xdr:twoCellAnchor>
    <xdr:from>
      <xdr:col>0</xdr:col>
      <xdr:colOff>268273</xdr:colOff>
      <xdr:row>22</xdr:row>
      <xdr:rowOff>832</xdr:rowOff>
    </xdr:from>
    <xdr:to>
      <xdr:col>8</xdr:col>
      <xdr:colOff>375988</xdr:colOff>
      <xdr:row>36</xdr:row>
      <xdr:rowOff>25068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1B525C33-5D79-40CA-9A4F-A5B62E8A401F}"/>
            </a:ext>
          </a:extLst>
        </xdr:cNvPr>
        <xdr:cNvSpPr/>
      </xdr:nvSpPr>
      <xdr:spPr>
        <a:xfrm>
          <a:off x="268273" y="4191832"/>
          <a:ext cx="4984515" cy="2691236"/>
        </a:xfrm>
        <a:prstGeom prst="roundRect">
          <a:avLst/>
        </a:prstGeom>
        <a:solidFill>
          <a:sysClr val="window" lastClr="FFFFFF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  <a:p>
          <a:pPr algn="l"/>
          <a:endParaRPr lang="en-US" sz="1100"/>
        </a:p>
        <a:p>
          <a:pPr algn="l"/>
          <a:endParaRPr lang="en-US" sz="1100"/>
        </a:p>
        <a:p>
          <a:pPr algn="l"/>
          <a:endParaRPr lang="en-US" sz="1100"/>
        </a:p>
        <a:p>
          <a:pPr algn="ctr"/>
          <a:r>
            <a:rPr lang="en-US" sz="1800">
              <a:solidFill>
                <a:sysClr val="windowText" lastClr="000000"/>
              </a:solidFill>
            </a:rPr>
            <a:t>M-score = −4.84 + 0.92 × DSRI + 0.528 × GMI + 0.404 × AQI + 0.892 × SGI + 0.115 × DEPI −0.172 × SGAI + 4.679 × TATA − 0.327 × LVGI </a:t>
          </a:r>
        </a:p>
        <a:p>
          <a:pPr algn="ctr"/>
          <a:br>
            <a:rPr lang="en-US" sz="1800">
              <a:solidFill>
                <a:sysClr val="windowText" lastClr="000000"/>
              </a:solidFill>
            </a:rPr>
          </a:br>
          <a:endParaRPr lang="en-US" sz="1800">
            <a:solidFill>
              <a:sysClr val="windowText" lastClr="000000"/>
            </a:solidFill>
          </a:endParaRPr>
        </a:p>
        <a:p>
          <a:pPr algn="ctr"/>
          <a:endParaRPr lang="en-US" sz="1600">
            <a:solidFill>
              <a:sysClr val="windowText" lastClr="000000"/>
            </a:solidFill>
          </a:endParaRPr>
        </a:p>
        <a:p>
          <a:pPr algn="ctr"/>
          <a:endParaRPr lang="en-US" sz="1600">
            <a:solidFill>
              <a:sysClr val="windowText" lastClr="000000"/>
            </a:solidFill>
          </a:endParaRPr>
        </a:p>
      </xdr:txBody>
    </xdr:sp>
    <xdr:clientData/>
  </xdr:twoCellAnchor>
  <xdr:oneCellAnchor>
    <xdr:from>
      <xdr:col>0</xdr:col>
      <xdr:colOff>427393</xdr:colOff>
      <xdr:row>22</xdr:row>
      <xdr:rowOff>99907</xdr:rowOff>
    </xdr:from>
    <xdr:ext cx="4713214" cy="781111"/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4F37B011-9A50-402D-9DA6-414CE311C673}"/>
            </a:ext>
          </a:extLst>
        </xdr:cNvPr>
        <xdr:cNvSpPr/>
      </xdr:nvSpPr>
      <xdr:spPr>
        <a:xfrm>
          <a:off x="427393" y="4290907"/>
          <a:ext cx="4713214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44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BENEISH M - SCORE</a:t>
          </a:r>
        </a:p>
      </xdr:txBody>
    </xdr:sp>
    <xdr:clientData/>
  </xdr:oneCellAnchor>
  <xdr:oneCellAnchor>
    <xdr:from>
      <xdr:col>2</xdr:col>
      <xdr:colOff>341287</xdr:colOff>
      <xdr:row>30</xdr:row>
      <xdr:rowOff>127302</xdr:rowOff>
    </xdr:from>
    <xdr:ext cx="2349108" cy="937629"/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E5615B68-B05B-47E8-82F2-356593B96A05}"/>
            </a:ext>
          </a:extLst>
        </xdr:cNvPr>
        <xdr:cNvSpPr/>
      </xdr:nvSpPr>
      <xdr:spPr>
        <a:xfrm>
          <a:off x="1560487" y="5842302"/>
          <a:ext cx="2349108" cy="93762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-2.1270</a:t>
          </a:r>
        </a:p>
      </xdr:txBody>
    </xdr:sp>
    <xdr:clientData/>
  </xdr:oneCellAnchor>
  <xdr:twoCellAnchor>
    <xdr:from>
      <xdr:col>1</xdr:col>
      <xdr:colOff>179457</xdr:colOff>
      <xdr:row>1</xdr:row>
      <xdr:rowOff>41412</xdr:rowOff>
    </xdr:from>
    <xdr:to>
      <xdr:col>3</xdr:col>
      <xdr:colOff>441739</xdr:colOff>
      <xdr:row>5</xdr:row>
      <xdr:rowOff>138043</xdr:rowOff>
    </xdr:to>
    <xdr:sp macro="[0]!Ashok_Leyland" textlink="">
      <xdr:nvSpPr>
        <xdr:cNvPr id="34" name="Rectangle: Rounded Corners 33">
          <a:extLst>
            <a:ext uri="{FF2B5EF4-FFF2-40B4-BE49-F238E27FC236}">
              <a16:creationId xmlns:a16="http://schemas.microsoft.com/office/drawing/2014/main" id="{C21BAF5E-9621-4C8E-847F-CAB01F57873B}"/>
            </a:ext>
          </a:extLst>
        </xdr:cNvPr>
        <xdr:cNvSpPr/>
      </xdr:nvSpPr>
      <xdr:spPr>
        <a:xfrm>
          <a:off x="786848" y="234673"/>
          <a:ext cx="1477065" cy="869674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>
                  <a:lumMod val="65000"/>
                  <a:lumOff val="35000"/>
                </a:schemeClr>
              </a:solidFill>
            </a:rPr>
            <a:t>Ashok Leyland</a:t>
          </a:r>
        </a:p>
      </xdr:txBody>
    </xdr:sp>
    <xdr:clientData/>
  </xdr:twoCellAnchor>
  <xdr:twoCellAnchor>
    <xdr:from>
      <xdr:col>4</xdr:col>
      <xdr:colOff>1</xdr:colOff>
      <xdr:row>1</xdr:row>
      <xdr:rowOff>41412</xdr:rowOff>
    </xdr:from>
    <xdr:to>
      <xdr:col>6</xdr:col>
      <xdr:colOff>262283</xdr:colOff>
      <xdr:row>5</xdr:row>
      <xdr:rowOff>138043</xdr:rowOff>
    </xdr:to>
    <xdr:sp macro="[0]!Bajaj_Auto" textlink="">
      <xdr:nvSpPr>
        <xdr:cNvPr id="35" name="Rectangle: Rounded Corners 34">
          <a:extLst>
            <a:ext uri="{FF2B5EF4-FFF2-40B4-BE49-F238E27FC236}">
              <a16:creationId xmlns:a16="http://schemas.microsoft.com/office/drawing/2014/main" id="{7479C5F2-A01C-4CBC-BB8C-18D695FB69D3}"/>
            </a:ext>
          </a:extLst>
        </xdr:cNvPr>
        <xdr:cNvSpPr/>
      </xdr:nvSpPr>
      <xdr:spPr>
        <a:xfrm>
          <a:off x="2429566" y="234673"/>
          <a:ext cx="1477065" cy="869674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>
                  <a:lumMod val="65000"/>
                  <a:lumOff val="35000"/>
                </a:schemeClr>
              </a:solidFill>
            </a:rPr>
            <a:t>Bajaj Auto</a:t>
          </a:r>
        </a:p>
      </xdr:txBody>
    </xdr:sp>
    <xdr:clientData/>
  </xdr:twoCellAnchor>
  <xdr:twoCellAnchor>
    <xdr:from>
      <xdr:col>6</xdr:col>
      <xdr:colOff>442292</xdr:colOff>
      <xdr:row>1</xdr:row>
      <xdr:rowOff>41964</xdr:rowOff>
    </xdr:from>
    <xdr:to>
      <xdr:col>9</xdr:col>
      <xdr:colOff>97183</xdr:colOff>
      <xdr:row>5</xdr:row>
      <xdr:rowOff>138595</xdr:rowOff>
    </xdr:to>
    <xdr:sp macro="[0]!Eicher_Motors" textlink="">
      <xdr:nvSpPr>
        <xdr:cNvPr id="36" name="Rectangle: Rounded Corners 35">
          <a:extLst>
            <a:ext uri="{FF2B5EF4-FFF2-40B4-BE49-F238E27FC236}">
              <a16:creationId xmlns:a16="http://schemas.microsoft.com/office/drawing/2014/main" id="{176C6847-0121-4777-A171-E0E67C581ACA}"/>
            </a:ext>
          </a:extLst>
        </xdr:cNvPr>
        <xdr:cNvSpPr/>
      </xdr:nvSpPr>
      <xdr:spPr>
        <a:xfrm>
          <a:off x="4086640" y="235225"/>
          <a:ext cx="1477065" cy="869674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>
                  <a:lumMod val="65000"/>
                  <a:lumOff val="35000"/>
                </a:schemeClr>
              </a:solidFill>
            </a:rPr>
            <a:t>Eicher Mototrs</a:t>
          </a:r>
        </a:p>
      </xdr:txBody>
    </xdr:sp>
    <xdr:clientData/>
  </xdr:twoCellAnchor>
  <xdr:twoCellAnchor>
    <xdr:from>
      <xdr:col>9</xdr:col>
      <xdr:colOff>249584</xdr:colOff>
      <xdr:row>1</xdr:row>
      <xdr:rowOff>42516</xdr:rowOff>
    </xdr:from>
    <xdr:to>
      <xdr:col>11</xdr:col>
      <xdr:colOff>511867</xdr:colOff>
      <xdr:row>5</xdr:row>
      <xdr:rowOff>139147</xdr:rowOff>
    </xdr:to>
    <xdr:sp macro="[0]!Hero_Motocorp" textlink="">
      <xdr:nvSpPr>
        <xdr:cNvPr id="37" name="Rectangle: Rounded Corners 36">
          <a:extLst>
            <a:ext uri="{FF2B5EF4-FFF2-40B4-BE49-F238E27FC236}">
              <a16:creationId xmlns:a16="http://schemas.microsoft.com/office/drawing/2014/main" id="{C73EF919-3281-4256-8153-07812887B120}"/>
            </a:ext>
          </a:extLst>
        </xdr:cNvPr>
        <xdr:cNvSpPr/>
      </xdr:nvSpPr>
      <xdr:spPr>
        <a:xfrm>
          <a:off x="5716106" y="235777"/>
          <a:ext cx="1477065" cy="869674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>
                  <a:lumMod val="65000"/>
                  <a:lumOff val="35000"/>
                </a:schemeClr>
              </a:solidFill>
            </a:rPr>
            <a:t>Hero Motocorp</a:t>
          </a:r>
        </a:p>
      </xdr:txBody>
    </xdr:sp>
    <xdr:clientData/>
  </xdr:twoCellAnchor>
  <xdr:twoCellAnchor>
    <xdr:from>
      <xdr:col>12</xdr:col>
      <xdr:colOff>56874</xdr:colOff>
      <xdr:row>1</xdr:row>
      <xdr:rowOff>56872</xdr:rowOff>
    </xdr:from>
    <xdr:to>
      <xdr:col>14</xdr:col>
      <xdr:colOff>319157</xdr:colOff>
      <xdr:row>5</xdr:row>
      <xdr:rowOff>153503</xdr:rowOff>
    </xdr:to>
    <xdr:sp macro="[0]!Maruti_Suzuki" textlink="">
      <xdr:nvSpPr>
        <xdr:cNvPr id="38" name="Rectangle: Rounded Corners 37">
          <a:extLst>
            <a:ext uri="{FF2B5EF4-FFF2-40B4-BE49-F238E27FC236}">
              <a16:creationId xmlns:a16="http://schemas.microsoft.com/office/drawing/2014/main" id="{5446C1D6-E83E-4094-8069-273DA0E9BB6C}"/>
            </a:ext>
          </a:extLst>
        </xdr:cNvPr>
        <xdr:cNvSpPr/>
      </xdr:nvSpPr>
      <xdr:spPr>
        <a:xfrm>
          <a:off x="7345570" y="250133"/>
          <a:ext cx="1477065" cy="869674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tx1">
                  <a:lumMod val="65000"/>
                  <a:lumOff val="35000"/>
                </a:schemeClr>
              </a:solidFill>
            </a:rPr>
            <a:t>Maruti Suzuki</a:t>
          </a:r>
        </a:p>
      </xdr:txBody>
    </xdr:sp>
    <xdr:clientData/>
  </xdr:twoCellAnchor>
  <xdr:twoCellAnchor>
    <xdr:from>
      <xdr:col>14</xdr:col>
      <xdr:colOff>485362</xdr:colOff>
      <xdr:row>1</xdr:row>
      <xdr:rowOff>43620</xdr:rowOff>
    </xdr:from>
    <xdr:to>
      <xdr:col>17</xdr:col>
      <xdr:colOff>140253</xdr:colOff>
      <xdr:row>5</xdr:row>
      <xdr:rowOff>140251</xdr:rowOff>
    </xdr:to>
    <xdr:sp macro="[0]!Tata_Motors" textlink="">
      <xdr:nvSpPr>
        <xdr:cNvPr id="39" name="Rectangle: Rounded Corners 38">
          <a:extLst>
            <a:ext uri="{FF2B5EF4-FFF2-40B4-BE49-F238E27FC236}">
              <a16:creationId xmlns:a16="http://schemas.microsoft.com/office/drawing/2014/main" id="{50392520-83C3-4A08-93EB-67944FE23E33}"/>
            </a:ext>
          </a:extLst>
        </xdr:cNvPr>
        <xdr:cNvSpPr/>
      </xdr:nvSpPr>
      <xdr:spPr>
        <a:xfrm>
          <a:off x="8988840" y="236881"/>
          <a:ext cx="1477065" cy="869674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>
                  <a:lumMod val="65000"/>
                  <a:lumOff val="35000"/>
                </a:schemeClr>
              </a:solidFill>
            </a:rPr>
            <a:t>Tata Motors</a:t>
          </a:r>
        </a:p>
      </xdr:txBody>
    </xdr:sp>
    <xdr:clientData/>
  </xdr:twoCellAnchor>
  <xdr:twoCellAnchor>
    <xdr:from>
      <xdr:col>17</xdr:col>
      <xdr:colOff>289892</xdr:colOff>
      <xdr:row>1</xdr:row>
      <xdr:rowOff>55218</xdr:rowOff>
    </xdr:from>
    <xdr:to>
      <xdr:col>19</xdr:col>
      <xdr:colOff>552174</xdr:colOff>
      <xdr:row>5</xdr:row>
      <xdr:rowOff>151849</xdr:rowOff>
    </xdr:to>
    <xdr:sp macro="[0]!TVS_Motors" textlink="">
      <xdr:nvSpPr>
        <xdr:cNvPr id="40" name="Rectangle: Rounded Corners 39">
          <a:extLst>
            <a:ext uri="{FF2B5EF4-FFF2-40B4-BE49-F238E27FC236}">
              <a16:creationId xmlns:a16="http://schemas.microsoft.com/office/drawing/2014/main" id="{21B02BDD-19DB-4BC3-BE14-83643AB600A3}"/>
            </a:ext>
          </a:extLst>
        </xdr:cNvPr>
        <xdr:cNvSpPr/>
      </xdr:nvSpPr>
      <xdr:spPr>
        <a:xfrm>
          <a:off x="10615544" y="248479"/>
          <a:ext cx="1477065" cy="869674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>
                  <a:lumMod val="65000"/>
                  <a:lumOff val="35000"/>
                </a:schemeClr>
              </a:solidFill>
            </a:rPr>
            <a:t>TVS Motors</a:t>
          </a:r>
        </a:p>
      </xdr:txBody>
    </xdr:sp>
    <xdr:clientData/>
  </xdr:twoCellAnchor>
  <xdr:twoCellAnchor>
    <xdr:from>
      <xdr:col>20</xdr:col>
      <xdr:colOff>97181</xdr:colOff>
      <xdr:row>1</xdr:row>
      <xdr:rowOff>55769</xdr:rowOff>
    </xdr:from>
    <xdr:to>
      <xdr:col>22</xdr:col>
      <xdr:colOff>276086</xdr:colOff>
      <xdr:row>5</xdr:row>
      <xdr:rowOff>152400</xdr:rowOff>
    </xdr:to>
    <xdr:sp macro="[0]!Paytm_Nifty_Auto" textlink="">
      <xdr:nvSpPr>
        <xdr:cNvPr id="41" name="Rectangle: Rounded Corners 40">
          <a:extLst>
            <a:ext uri="{FF2B5EF4-FFF2-40B4-BE49-F238E27FC236}">
              <a16:creationId xmlns:a16="http://schemas.microsoft.com/office/drawing/2014/main" id="{4EF96D0D-C470-4B98-AC81-7D22CED7B4D0}"/>
            </a:ext>
          </a:extLst>
        </xdr:cNvPr>
        <xdr:cNvSpPr/>
      </xdr:nvSpPr>
      <xdr:spPr>
        <a:xfrm>
          <a:off x="12245007" y="249030"/>
          <a:ext cx="1393688" cy="869674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>
                  <a:lumMod val="65000"/>
                  <a:lumOff val="35000"/>
                </a:schemeClr>
              </a:solidFill>
            </a:rPr>
            <a:t>Paytm</a:t>
          </a:r>
          <a:r>
            <a:rPr lang="en-US" sz="2000" baseline="0">
              <a:solidFill>
                <a:schemeClr val="tx1">
                  <a:lumMod val="65000"/>
                  <a:lumOff val="35000"/>
                </a:schemeClr>
              </a:solidFill>
            </a:rPr>
            <a:t> Nifty Auto</a:t>
          </a:r>
          <a:endParaRPr lang="en-US" sz="200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 editAs="oneCell">
    <xdr:from>
      <xdr:col>8</xdr:col>
      <xdr:colOff>524565</xdr:colOff>
      <xdr:row>22</xdr:row>
      <xdr:rowOff>27608</xdr:rowOff>
    </xdr:from>
    <xdr:to>
      <xdr:col>15</xdr:col>
      <xdr:colOff>469347</xdr:colOff>
      <xdr:row>28</xdr:row>
      <xdr:rowOff>94283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6E21AB74-2266-4938-8871-DC1B5D8B79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83695" y="4279347"/>
          <a:ext cx="4196522" cy="1226240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16</xdr:col>
      <xdr:colOff>13804</xdr:colOff>
      <xdr:row>21</xdr:row>
      <xdr:rowOff>193260</xdr:rowOff>
    </xdr:from>
    <xdr:to>
      <xdr:col>23</xdr:col>
      <xdr:colOff>302755</xdr:colOff>
      <xdr:row>36</xdr:row>
      <xdr:rowOff>27609</xdr:rowOff>
    </xdr:to>
    <xdr:graphicFrame macro="">
      <xdr:nvGraphicFramePr>
        <xdr:cNvPr id="43" name="Chart 42">
          <a:extLst>
            <a:ext uri="{FF2B5EF4-FFF2-40B4-BE49-F238E27FC236}">
              <a16:creationId xmlns:a16="http://schemas.microsoft.com/office/drawing/2014/main" id="{230EC9FA-A779-423E-9324-A04B608DE7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8</xdr:col>
      <xdr:colOff>455545</xdr:colOff>
      <xdr:row>28</xdr:row>
      <xdr:rowOff>110435</xdr:rowOff>
    </xdr:from>
    <xdr:to>
      <xdr:col>15</xdr:col>
      <xdr:colOff>552173</xdr:colOff>
      <xdr:row>35</xdr:row>
      <xdr:rowOff>124239</xdr:rowOff>
    </xdr:to>
    <xdr:pic>
      <xdr:nvPicPr>
        <xdr:cNvPr id="44" name="Picture 43">
          <a:extLst>
            <a:ext uri="{FF2B5EF4-FFF2-40B4-BE49-F238E27FC236}">
              <a16:creationId xmlns:a16="http://schemas.microsoft.com/office/drawing/2014/main" id="{AE7ABFF3-50E0-46B8-A499-8503AE725D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14675" y="5521739"/>
          <a:ext cx="4348368" cy="1366630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593607</xdr:colOff>
      <xdr:row>7</xdr:row>
      <xdr:rowOff>69022</xdr:rowOff>
    </xdr:from>
    <xdr:to>
      <xdr:col>15</xdr:col>
      <xdr:colOff>303695</xdr:colOff>
      <xdr:row>20</xdr:row>
      <xdr:rowOff>96648</xdr:rowOff>
    </xdr:to>
    <xdr:pic>
      <xdr:nvPicPr>
        <xdr:cNvPr id="46" name="Picture 45" descr="C:\Users\hp\Downloads\WhatsApp Image 2024-02-26 at 9.22.54 PM.jpeg">
          <a:extLst>
            <a:ext uri="{FF2B5EF4-FFF2-40B4-BE49-F238E27FC236}">
              <a16:creationId xmlns:a16="http://schemas.microsoft.com/office/drawing/2014/main" id="{12008F9E-D4AC-40EC-8E00-91D343FC59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60129" y="1421848"/>
          <a:ext cx="3354436" cy="25400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15119</xdr:colOff>
      <xdr:row>6</xdr:row>
      <xdr:rowOff>125648</xdr:rowOff>
    </xdr:from>
    <xdr:to>
      <xdr:col>9</xdr:col>
      <xdr:colOff>162872</xdr:colOff>
      <xdr:row>20</xdr:row>
      <xdr:rowOff>126008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911E073-7FF6-41E1-8124-278F9C2EED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215630</xdr:colOff>
      <xdr:row>7</xdr:row>
      <xdr:rowOff>100027</xdr:rowOff>
    </xdr:from>
    <xdr:to>
      <xdr:col>20</xdr:col>
      <xdr:colOff>416608</xdr:colOff>
      <xdr:row>9</xdr:row>
      <xdr:rowOff>122980</xdr:rowOff>
    </xdr:to>
    <xdr:sp macro="" textlink="">
      <xdr:nvSpPr>
        <xdr:cNvPr id="4" name="Flowchart: Alternate Process 3">
          <a:extLst>
            <a:ext uri="{FF2B5EF4-FFF2-40B4-BE49-F238E27FC236}">
              <a16:creationId xmlns:a16="http://schemas.microsoft.com/office/drawing/2014/main" id="{7B1C52E1-7958-4B30-AF75-1B3922D9BC57}"/>
            </a:ext>
          </a:extLst>
        </xdr:cNvPr>
        <xdr:cNvSpPr/>
      </xdr:nvSpPr>
      <xdr:spPr>
        <a:xfrm>
          <a:off x="9969230" y="1433527"/>
          <a:ext cx="2639378" cy="403953"/>
        </a:xfrm>
        <a:prstGeom prst="flowChartAlternateProcess">
          <a:avLst/>
        </a:prstGeom>
        <a:solidFill>
          <a:schemeClr val="bg1"/>
        </a:solidFill>
        <a:ln w="28575"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>
              <a:solidFill>
                <a:sysClr val="windowText" lastClr="000000"/>
              </a:solidFill>
            </a:rPr>
            <a:t>OPERATING PROFIT</a:t>
          </a:r>
          <a:r>
            <a:rPr lang="en-US" sz="1600" baseline="0">
              <a:solidFill>
                <a:sysClr val="windowText" lastClr="000000"/>
              </a:solidFill>
            </a:rPr>
            <a:t> MARGIN</a:t>
          </a:r>
          <a:endParaRPr lang="en-US" sz="16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16</xdr:col>
      <xdr:colOff>230320</xdr:colOff>
      <xdr:row>18</xdr:row>
      <xdr:rowOff>21710</xdr:rowOff>
    </xdr:from>
    <xdr:to>
      <xdr:col>20</xdr:col>
      <xdr:colOff>431298</xdr:colOff>
      <xdr:row>20</xdr:row>
      <xdr:rowOff>44662</xdr:rowOff>
    </xdr:to>
    <xdr:sp macro="" textlink="">
      <xdr:nvSpPr>
        <xdr:cNvPr id="5" name="Flowchart: Alternate Process 4">
          <a:extLst>
            <a:ext uri="{FF2B5EF4-FFF2-40B4-BE49-F238E27FC236}">
              <a16:creationId xmlns:a16="http://schemas.microsoft.com/office/drawing/2014/main" id="{FD6B260A-CF4D-489B-822B-4D493D87FF7C}"/>
            </a:ext>
          </a:extLst>
        </xdr:cNvPr>
        <xdr:cNvSpPr/>
      </xdr:nvSpPr>
      <xdr:spPr>
        <a:xfrm>
          <a:off x="9983920" y="3450710"/>
          <a:ext cx="2639378" cy="403952"/>
        </a:xfrm>
        <a:prstGeom prst="flowChartAlternateProcess">
          <a:avLst/>
        </a:prstGeom>
        <a:solidFill>
          <a:schemeClr val="bg1"/>
        </a:solidFill>
        <a:ln w="28575"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>
              <a:solidFill>
                <a:sysClr val="windowText" lastClr="000000"/>
              </a:solidFill>
            </a:rPr>
            <a:t>CURRENT</a:t>
          </a:r>
          <a:r>
            <a:rPr lang="en-US" sz="1600" baseline="0">
              <a:solidFill>
                <a:sysClr val="windowText" lastClr="000000"/>
              </a:solidFill>
            </a:rPr>
            <a:t> RATIO</a:t>
          </a:r>
          <a:endParaRPr lang="en-US" sz="16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16</xdr:col>
      <xdr:colOff>222057</xdr:colOff>
      <xdr:row>14</xdr:row>
      <xdr:rowOff>94978</xdr:rowOff>
    </xdr:from>
    <xdr:to>
      <xdr:col>20</xdr:col>
      <xdr:colOff>423035</xdr:colOff>
      <xdr:row>16</xdr:row>
      <xdr:rowOff>117930</xdr:rowOff>
    </xdr:to>
    <xdr:sp macro="" textlink="">
      <xdr:nvSpPr>
        <xdr:cNvPr id="6" name="Flowchart: Alternate Process 5">
          <a:extLst>
            <a:ext uri="{FF2B5EF4-FFF2-40B4-BE49-F238E27FC236}">
              <a16:creationId xmlns:a16="http://schemas.microsoft.com/office/drawing/2014/main" id="{763F6D93-799B-4FBB-BEB9-F60DA75DBAF0}"/>
            </a:ext>
          </a:extLst>
        </xdr:cNvPr>
        <xdr:cNvSpPr/>
      </xdr:nvSpPr>
      <xdr:spPr>
        <a:xfrm>
          <a:off x="9975657" y="2761978"/>
          <a:ext cx="2639378" cy="403952"/>
        </a:xfrm>
        <a:prstGeom prst="flowChartAlternateProcess">
          <a:avLst/>
        </a:prstGeom>
        <a:solidFill>
          <a:schemeClr val="bg1"/>
        </a:solidFill>
        <a:ln w="28575"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>
              <a:solidFill>
                <a:sysClr val="windowText" lastClr="000000"/>
              </a:solidFill>
            </a:rPr>
            <a:t>ASSET</a:t>
          </a:r>
          <a:r>
            <a:rPr lang="en-US" sz="1600" baseline="0">
              <a:solidFill>
                <a:sysClr val="windowText" lastClr="000000"/>
              </a:solidFill>
            </a:rPr>
            <a:t> TURNOVER RATIO</a:t>
          </a:r>
          <a:endParaRPr lang="en-US" sz="16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16</xdr:col>
      <xdr:colOff>225270</xdr:colOff>
      <xdr:row>10</xdr:row>
      <xdr:rowOff>178522</xdr:rowOff>
    </xdr:from>
    <xdr:to>
      <xdr:col>20</xdr:col>
      <xdr:colOff>426248</xdr:colOff>
      <xdr:row>13</xdr:row>
      <xdr:rowOff>16661</xdr:rowOff>
    </xdr:to>
    <xdr:sp macro="" textlink="">
      <xdr:nvSpPr>
        <xdr:cNvPr id="7" name="Flowchart: Alternate Process 6">
          <a:extLst>
            <a:ext uri="{FF2B5EF4-FFF2-40B4-BE49-F238E27FC236}">
              <a16:creationId xmlns:a16="http://schemas.microsoft.com/office/drawing/2014/main" id="{9DAF1554-5D0F-4F15-BEC3-F36CC8DE823A}"/>
            </a:ext>
          </a:extLst>
        </xdr:cNvPr>
        <xdr:cNvSpPr/>
      </xdr:nvSpPr>
      <xdr:spPr>
        <a:xfrm>
          <a:off x="9978870" y="2083522"/>
          <a:ext cx="2639378" cy="409639"/>
        </a:xfrm>
        <a:prstGeom prst="flowChartAlternateProcess">
          <a:avLst/>
        </a:prstGeom>
        <a:solidFill>
          <a:schemeClr val="bg1"/>
        </a:solidFill>
        <a:ln w="28575"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>
              <a:solidFill>
                <a:sysClr val="windowText" lastClr="000000"/>
              </a:solidFill>
            </a:rPr>
            <a:t>DEBT</a:t>
          </a:r>
          <a:r>
            <a:rPr lang="en-US" sz="1600" baseline="0">
              <a:solidFill>
                <a:sysClr val="windowText" lastClr="000000"/>
              </a:solidFill>
            </a:rPr>
            <a:t> TO EQUITY RATIO</a:t>
          </a:r>
          <a:endParaRPr lang="en-US" sz="16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20</xdr:col>
      <xdr:colOff>500152</xdr:colOff>
      <xdr:row>7</xdr:row>
      <xdr:rowOff>103240</xdr:rowOff>
    </xdr:from>
    <xdr:to>
      <xdr:col>22</xdr:col>
      <xdr:colOff>382180</xdr:colOff>
      <xdr:row>9</xdr:row>
      <xdr:rowOff>145931</xdr:rowOff>
    </xdr:to>
    <xdr:sp macro="" textlink="">
      <xdr:nvSpPr>
        <xdr:cNvPr id="8" name="Flowchart: Alternate Process 7">
          <a:extLst>
            <a:ext uri="{FF2B5EF4-FFF2-40B4-BE49-F238E27FC236}">
              <a16:creationId xmlns:a16="http://schemas.microsoft.com/office/drawing/2014/main" id="{9A1016EE-AC85-4036-A27E-26D17A0D4AFF}"/>
            </a:ext>
          </a:extLst>
        </xdr:cNvPr>
        <xdr:cNvSpPr/>
      </xdr:nvSpPr>
      <xdr:spPr>
        <a:xfrm>
          <a:off x="12692152" y="1436740"/>
          <a:ext cx="1101228" cy="423691"/>
        </a:xfrm>
        <a:prstGeom prst="flowChartAlternateProcess">
          <a:avLst/>
        </a:prstGeom>
        <a:solidFill>
          <a:schemeClr val="bg1"/>
        </a:solidFill>
        <a:ln w="28575"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>
              <a:solidFill>
                <a:sysClr val="windowText" lastClr="000000"/>
              </a:solidFill>
            </a:rPr>
            <a:t>6.89%</a:t>
          </a:r>
        </a:p>
      </xdr:txBody>
    </xdr:sp>
    <xdr:clientData/>
  </xdr:twoCellAnchor>
  <xdr:twoCellAnchor>
    <xdr:from>
      <xdr:col>20</xdr:col>
      <xdr:colOff>503365</xdr:colOff>
      <xdr:row>10</xdr:row>
      <xdr:rowOff>163833</xdr:rowOff>
    </xdr:from>
    <xdr:to>
      <xdr:col>22</xdr:col>
      <xdr:colOff>385393</xdr:colOff>
      <xdr:row>13</xdr:row>
      <xdr:rowOff>21710</xdr:rowOff>
    </xdr:to>
    <xdr:sp macro="" textlink="">
      <xdr:nvSpPr>
        <xdr:cNvPr id="9" name="Flowchart: Alternate Process 8">
          <a:extLst>
            <a:ext uri="{FF2B5EF4-FFF2-40B4-BE49-F238E27FC236}">
              <a16:creationId xmlns:a16="http://schemas.microsoft.com/office/drawing/2014/main" id="{803697C0-ACC6-46DE-A2F2-9AC0E2BB501D}"/>
            </a:ext>
          </a:extLst>
        </xdr:cNvPr>
        <xdr:cNvSpPr/>
      </xdr:nvSpPr>
      <xdr:spPr>
        <a:xfrm>
          <a:off x="12695365" y="2068833"/>
          <a:ext cx="1101228" cy="429377"/>
        </a:xfrm>
        <a:prstGeom prst="flowChartAlternateProcess">
          <a:avLst/>
        </a:prstGeom>
        <a:solidFill>
          <a:schemeClr val="bg1"/>
        </a:solidFill>
        <a:ln w="28575"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>
              <a:solidFill>
                <a:sysClr val="windowText" lastClr="000000"/>
              </a:solidFill>
            </a:rPr>
            <a:t>0.84:1</a:t>
          </a:r>
        </a:p>
      </xdr:txBody>
    </xdr:sp>
    <xdr:clientData/>
  </xdr:twoCellAnchor>
  <xdr:twoCellAnchor>
    <xdr:from>
      <xdr:col>20</xdr:col>
      <xdr:colOff>506579</xdr:colOff>
      <xdr:row>14</xdr:row>
      <xdr:rowOff>86715</xdr:rowOff>
    </xdr:from>
    <xdr:to>
      <xdr:col>22</xdr:col>
      <xdr:colOff>388607</xdr:colOff>
      <xdr:row>16</xdr:row>
      <xdr:rowOff>129405</xdr:rowOff>
    </xdr:to>
    <xdr:sp macro="" textlink="">
      <xdr:nvSpPr>
        <xdr:cNvPr id="10" name="Flowchart: Alternate Process 9">
          <a:extLst>
            <a:ext uri="{FF2B5EF4-FFF2-40B4-BE49-F238E27FC236}">
              <a16:creationId xmlns:a16="http://schemas.microsoft.com/office/drawing/2014/main" id="{6EE4D0BB-46D5-498C-943C-1C0B14CE6B18}"/>
            </a:ext>
          </a:extLst>
        </xdr:cNvPr>
        <xdr:cNvSpPr/>
      </xdr:nvSpPr>
      <xdr:spPr>
        <a:xfrm>
          <a:off x="12698579" y="2753715"/>
          <a:ext cx="1101228" cy="423690"/>
        </a:xfrm>
        <a:prstGeom prst="flowChartAlternateProcess">
          <a:avLst/>
        </a:prstGeom>
        <a:solidFill>
          <a:schemeClr val="bg1"/>
        </a:solidFill>
        <a:ln w="28575"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>
              <a:solidFill>
                <a:sysClr val="windowText" lastClr="000000"/>
              </a:solidFill>
            </a:rPr>
            <a:t>1.56:1</a:t>
          </a:r>
        </a:p>
      </xdr:txBody>
    </xdr:sp>
    <xdr:clientData/>
  </xdr:twoCellAnchor>
  <xdr:twoCellAnchor>
    <xdr:from>
      <xdr:col>20</xdr:col>
      <xdr:colOff>521268</xdr:colOff>
      <xdr:row>18</xdr:row>
      <xdr:rowOff>18497</xdr:rowOff>
    </xdr:from>
    <xdr:to>
      <xdr:col>22</xdr:col>
      <xdr:colOff>403296</xdr:colOff>
      <xdr:row>20</xdr:row>
      <xdr:rowOff>28135</xdr:rowOff>
    </xdr:to>
    <xdr:sp macro="" textlink="">
      <xdr:nvSpPr>
        <xdr:cNvPr id="11" name="Flowchart: Alternate Process 10">
          <a:extLst>
            <a:ext uri="{FF2B5EF4-FFF2-40B4-BE49-F238E27FC236}">
              <a16:creationId xmlns:a16="http://schemas.microsoft.com/office/drawing/2014/main" id="{28E1E178-5262-4E2A-94CC-74931E0E739E}"/>
            </a:ext>
          </a:extLst>
        </xdr:cNvPr>
        <xdr:cNvSpPr/>
      </xdr:nvSpPr>
      <xdr:spPr>
        <a:xfrm>
          <a:off x="12713268" y="3447497"/>
          <a:ext cx="1101228" cy="390638"/>
        </a:xfrm>
        <a:prstGeom prst="flowChartAlternateProcess">
          <a:avLst/>
        </a:prstGeom>
        <a:solidFill>
          <a:schemeClr val="bg1"/>
        </a:solidFill>
        <a:ln w="28575"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>
              <a:solidFill>
                <a:sysClr val="windowText" lastClr="000000"/>
              </a:solidFill>
            </a:rPr>
            <a:t>0.37:1</a:t>
          </a:r>
        </a:p>
      </xdr:txBody>
    </xdr:sp>
    <xdr:clientData/>
  </xdr:twoCellAnchor>
  <xdr:twoCellAnchor>
    <xdr:from>
      <xdr:col>0</xdr:col>
      <xdr:colOff>268273</xdr:colOff>
      <xdr:row>22</xdr:row>
      <xdr:rowOff>832</xdr:rowOff>
    </xdr:from>
    <xdr:to>
      <xdr:col>8</xdr:col>
      <xdr:colOff>375988</xdr:colOff>
      <xdr:row>36</xdr:row>
      <xdr:rowOff>25068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EF1F5F34-50A7-4688-A8AB-DE7EA8AADA86}"/>
            </a:ext>
          </a:extLst>
        </xdr:cNvPr>
        <xdr:cNvSpPr/>
      </xdr:nvSpPr>
      <xdr:spPr>
        <a:xfrm>
          <a:off x="268273" y="4191832"/>
          <a:ext cx="4984515" cy="2691236"/>
        </a:xfrm>
        <a:prstGeom prst="roundRect">
          <a:avLst/>
        </a:prstGeom>
        <a:solidFill>
          <a:sysClr val="window" lastClr="FFFFFF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  <a:p>
          <a:pPr algn="l"/>
          <a:endParaRPr lang="en-US" sz="1100"/>
        </a:p>
        <a:p>
          <a:pPr algn="l"/>
          <a:endParaRPr lang="en-US" sz="1100"/>
        </a:p>
        <a:p>
          <a:pPr algn="l"/>
          <a:endParaRPr lang="en-US" sz="1100"/>
        </a:p>
        <a:p>
          <a:pPr algn="ctr"/>
          <a:r>
            <a:rPr lang="en-US" sz="1800">
              <a:solidFill>
                <a:sysClr val="windowText" lastClr="000000"/>
              </a:solidFill>
            </a:rPr>
            <a:t>M-score = −4.84 + 0.92 × DSRI + 0.528 × GMI + 0.404 × AQI + 0.892 × SGI + 0.115 × DEPI −0.172 × SGAI + 4.679 × TATA − 0.327 × LVGI </a:t>
          </a:r>
        </a:p>
        <a:p>
          <a:pPr algn="ctr"/>
          <a:br>
            <a:rPr lang="en-US" sz="1800">
              <a:solidFill>
                <a:sysClr val="windowText" lastClr="000000"/>
              </a:solidFill>
            </a:rPr>
          </a:br>
          <a:endParaRPr lang="en-US" sz="1800">
            <a:solidFill>
              <a:sysClr val="windowText" lastClr="000000"/>
            </a:solidFill>
          </a:endParaRPr>
        </a:p>
        <a:p>
          <a:pPr algn="ctr"/>
          <a:endParaRPr lang="en-US" sz="1600">
            <a:solidFill>
              <a:sysClr val="windowText" lastClr="000000"/>
            </a:solidFill>
          </a:endParaRPr>
        </a:p>
        <a:p>
          <a:pPr algn="ctr"/>
          <a:endParaRPr lang="en-US" sz="1600">
            <a:solidFill>
              <a:sysClr val="windowText" lastClr="000000"/>
            </a:solidFill>
          </a:endParaRPr>
        </a:p>
      </xdr:txBody>
    </xdr:sp>
    <xdr:clientData/>
  </xdr:twoCellAnchor>
  <xdr:oneCellAnchor>
    <xdr:from>
      <xdr:col>0</xdr:col>
      <xdr:colOff>427393</xdr:colOff>
      <xdr:row>22</xdr:row>
      <xdr:rowOff>99907</xdr:rowOff>
    </xdr:from>
    <xdr:ext cx="4713214" cy="781111"/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D759688D-3F01-4F9F-AE79-E0106E6DA20E}"/>
            </a:ext>
          </a:extLst>
        </xdr:cNvPr>
        <xdr:cNvSpPr/>
      </xdr:nvSpPr>
      <xdr:spPr>
        <a:xfrm>
          <a:off x="427393" y="4290907"/>
          <a:ext cx="4713214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44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BENEISH M - SCORE</a:t>
          </a:r>
        </a:p>
      </xdr:txBody>
    </xdr:sp>
    <xdr:clientData/>
  </xdr:oneCellAnchor>
  <xdr:oneCellAnchor>
    <xdr:from>
      <xdr:col>2</xdr:col>
      <xdr:colOff>341287</xdr:colOff>
      <xdr:row>30</xdr:row>
      <xdr:rowOff>127302</xdr:rowOff>
    </xdr:from>
    <xdr:ext cx="2349108" cy="937629"/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FCA147DF-44B2-4396-B69E-D885090BEE8E}"/>
            </a:ext>
          </a:extLst>
        </xdr:cNvPr>
        <xdr:cNvSpPr/>
      </xdr:nvSpPr>
      <xdr:spPr>
        <a:xfrm>
          <a:off x="1560487" y="5842302"/>
          <a:ext cx="2349108" cy="93762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-2.8546</a:t>
          </a:r>
        </a:p>
      </xdr:txBody>
    </xdr:sp>
    <xdr:clientData/>
  </xdr:oneCellAnchor>
  <xdr:twoCellAnchor>
    <xdr:from>
      <xdr:col>1</xdr:col>
      <xdr:colOff>193262</xdr:colOff>
      <xdr:row>1</xdr:row>
      <xdr:rowOff>13804</xdr:rowOff>
    </xdr:from>
    <xdr:to>
      <xdr:col>3</xdr:col>
      <xdr:colOff>455544</xdr:colOff>
      <xdr:row>5</xdr:row>
      <xdr:rowOff>110435</xdr:rowOff>
    </xdr:to>
    <xdr:sp macro="[0]!Ashok_Leyland" textlink="">
      <xdr:nvSpPr>
        <xdr:cNvPr id="34" name="Rectangle: Rounded Corners 33">
          <a:extLst>
            <a:ext uri="{FF2B5EF4-FFF2-40B4-BE49-F238E27FC236}">
              <a16:creationId xmlns:a16="http://schemas.microsoft.com/office/drawing/2014/main" id="{16068B1F-9C35-45A0-AD9E-F5B84A3B6EE4}"/>
            </a:ext>
          </a:extLst>
        </xdr:cNvPr>
        <xdr:cNvSpPr/>
      </xdr:nvSpPr>
      <xdr:spPr>
        <a:xfrm>
          <a:off x="800653" y="207065"/>
          <a:ext cx="1477065" cy="869674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>
                  <a:lumMod val="65000"/>
                  <a:lumOff val="35000"/>
                </a:schemeClr>
              </a:solidFill>
            </a:rPr>
            <a:t>Ashok Leyland</a:t>
          </a:r>
        </a:p>
      </xdr:txBody>
    </xdr:sp>
    <xdr:clientData/>
  </xdr:twoCellAnchor>
  <xdr:twoCellAnchor>
    <xdr:from>
      <xdr:col>4</xdr:col>
      <xdr:colOff>13806</xdr:colOff>
      <xdr:row>1</xdr:row>
      <xdr:rowOff>13804</xdr:rowOff>
    </xdr:from>
    <xdr:to>
      <xdr:col>6</xdr:col>
      <xdr:colOff>276088</xdr:colOff>
      <xdr:row>5</xdr:row>
      <xdr:rowOff>110435</xdr:rowOff>
    </xdr:to>
    <xdr:sp macro="[0]!Bajaj_Auto" textlink="">
      <xdr:nvSpPr>
        <xdr:cNvPr id="35" name="Rectangle: Rounded Corners 34">
          <a:extLst>
            <a:ext uri="{FF2B5EF4-FFF2-40B4-BE49-F238E27FC236}">
              <a16:creationId xmlns:a16="http://schemas.microsoft.com/office/drawing/2014/main" id="{7C58F6D3-56B6-4FBC-B07C-BD468EAB8F55}"/>
            </a:ext>
          </a:extLst>
        </xdr:cNvPr>
        <xdr:cNvSpPr/>
      </xdr:nvSpPr>
      <xdr:spPr>
        <a:xfrm>
          <a:off x="2443371" y="207065"/>
          <a:ext cx="1477065" cy="869674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>
                  <a:lumMod val="65000"/>
                  <a:lumOff val="35000"/>
                </a:schemeClr>
              </a:solidFill>
            </a:rPr>
            <a:t>Bajaj Auto</a:t>
          </a:r>
        </a:p>
      </xdr:txBody>
    </xdr:sp>
    <xdr:clientData/>
  </xdr:twoCellAnchor>
  <xdr:twoCellAnchor>
    <xdr:from>
      <xdr:col>6</xdr:col>
      <xdr:colOff>456097</xdr:colOff>
      <xdr:row>1</xdr:row>
      <xdr:rowOff>14356</xdr:rowOff>
    </xdr:from>
    <xdr:to>
      <xdr:col>9</xdr:col>
      <xdr:colOff>110988</xdr:colOff>
      <xdr:row>5</xdr:row>
      <xdr:rowOff>110987</xdr:rowOff>
    </xdr:to>
    <xdr:sp macro="[0]!Eicher_Motors" textlink="">
      <xdr:nvSpPr>
        <xdr:cNvPr id="36" name="Rectangle: Rounded Corners 35">
          <a:extLst>
            <a:ext uri="{FF2B5EF4-FFF2-40B4-BE49-F238E27FC236}">
              <a16:creationId xmlns:a16="http://schemas.microsoft.com/office/drawing/2014/main" id="{5B038AA7-45E2-4DC0-8A4E-D7CED4AD1DFE}"/>
            </a:ext>
          </a:extLst>
        </xdr:cNvPr>
        <xdr:cNvSpPr/>
      </xdr:nvSpPr>
      <xdr:spPr>
        <a:xfrm>
          <a:off x="4100445" y="207617"/>
          <a:ext cx="1477065" cy="869674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>
                  <a:lumMod val="65000"/>
                  <a:lumOff val="35000"/>
                </a:schemeClr>
              </a:solidFill>
            </a:rPr>
            <a:t>Eicher Mototrs</a:t>
          </a:r>
        </a:p>
      </xdr:txBody>
    </xdr:sp>
    <xdr:clientData/>
  </xdr:twoCellAnchor>
  <xdr:twoCellAnchor>
    <xdr:from>
      <xdr:col>9</xdr:col>
      <xdr:colOff>263389</xdr:colOff>
      <xdr:row>1</xdr:row>
      <xdr:rowOff>14908</xdr:rowOff>
    </xdr:from>
    <xdr:to>
      <xdr:col>11</xdr:col>
      <xdr:colOff>525672</xdr:colOff>
      <xdr:row>5</xdr:row>
      <xdr:rowOff>111539</xdr:rowOff>
    </xdr:to>
    <xdr:sp macro="[0]!Hero_Motocorp" textlink="">
      <xdr:nvSpPr>
        <xdr:cNvPr id="37" name="Rectangle: Rounded Corners 36">
          <a:extLst>
            <a:ext uri="{FF2B5EF4-FFF2-40B4-BE49-F238E27FC236}">
              <a16:creationId xmlns:a16="http://schemas.microsoft.com/office/drawing/2014/main" id="{A7F5859C-DBDF-4FE1-86A6-3AA9E1AE8ED6}"/>
            </a:ext>
          </a:extLst>
        </xdr:cNvPr>
        <xdr:cNvSpPr/>
      </xdr:nvSpPr>
      <xdr:spPr>
        <a:xfrm>
          <a:off x="5729911" y="208169"/>
          <a:ext cx="1477065" cy="869674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>
                  <a:lumMod val="65000"/>
                  <a:lumOff val="35000"/>
                </a:schemeClr>
              </a:solidFill>
            </a:rPr>
            <a:t>Hero Motocorp</a:t>
          </a:r>
        </a:p>
      </xdr:txBody>
    </xdr:sp>
    <xdr:clientData/>
  </xdr:twoCellAnchor>
  <xdr:twoCellAnchor>
    <xdr:from>
      <xdr:col>12</xdr:col>
      <xdr:colOff>70679</xdr:colOff>
      <xdr:row>1</xdr:row>
      <xdr:rowOff>29264</xdr:rowOff>
    </xdr:from>
    <xdr:to>
      <xdr:col>14</xdr:col>
      <xdr:colOff>332962</xdr:colOff>
      <xdr:row>5</xdr:row>
      <xdr:rowOff>125895</xdr:rowOff>
    </xdr:to>
    <xdr:sp macro="[0]!Maruti_Suzuki" textlink="">
      <xdr:nvSpPr>
        <xdr:cNvPr id="38" name="Rectangle: Rounded Corners 37">
          <a:extLst>
            <a:ext uri="{FF2B5EF4-FFF2-40B4-BE49-F238E27FC236}">
              <a16:creationId xmlns:a16="http://schemas.microsoft.com/office/drawing/2014/main" id="{D24CC9C5-2569-4082-87D4-F8BF8349E427}"/>
            </a:ext>
          </a:extLst>
        </xdr:cNvPr>
        <xdr:cNvSpPr/>
      </xdr:nvSpPr>
      <xdr:spPr>
        <a:xfrm>
          <a:off x="7359375" y="222525"/>
          <a:ext cx="1477065" cy="869674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>
                  <a:lumMod val="65000"/>
                  <a:lumOff val="35000"/>
                </a:schemeClr>
              </a:solidFill>
            </a:rPr>
            <a:t>Maruti Suzuki</a:t>
          </a:r>
        </a:p>
      </xdr:txBody>
    </xdr:sp>
    <xdr:clientData/>
  </xdr:twoCellAnchor>
  <xdr:twoCellAnchor>
    <xdr:from>
      <xdr:col>14</xdr:col>
      <xdr:colOff>499167</xdr:colOff>
      <xdr:row>1</xdr:row>
      <xdr:rowOff>16012</xdr:rowOff>
    </xdr:from>
    <xdr:to>
      <xdr:col>17</xdr:col>
      <xdr:colOff>154058</xdr:colOff>
      <xdr:row>5</xdr:row>
      <xdr:rowOff>112643</xdr:rowOff>
    </xdr:to>
    <xdr:sp macro="[0]!Tata_Motors" textlink="">
      <xdr:nvSpPr>
        <xdr:cNvPr id="39" name="Rectangle: Rounded Corners 38">
          <a:extLst>
            <a:ext uri="{FF2B5EF4-FFF2-40B4-BE49-F238E27FC236}">
              <a16:creationId xmlns:a16="http://schemas.microsoft.com/office/drawing/2014/main" id="{F4075C75-A938-478F-98C6-1DABC4E3419D}"/>
            </a:ext>
          </a:extLst>
        </xdr:cNvPr>
        <xdr:cNvSpPr/>
      </xdr:nvSpPr>
      <xdr:spPr>
        <a:xfrm>
          <a:off x="9002645" y="209273"/>
          <a:ext cx="1477065" cy="869674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tx1">
                  <a:lumMod val="65000"/>
                  <a:lumOff val="35000"/>
                </a:schemeClr>
              </a:solidFill>
            </a:rPr>
            <a:t>Tata Motors</a:t>
          </a:r>
        </a:p>
      </xdr:txBody>
    </xdr:sp>
    <xdr:clientData/>
  </xdr:twoCellAnchor>
  <xdr:twoCellAnchor>
    <xdr:from>
      <xdr:col>17</xdr:col>
      <xdr:colOff>303697</xdr:colOff>
      <xdr:row>1</xdr:row>
      <xdr:rowOff>27610</xdr:rowOff>
    </xdr:from>
    <xdr:to>
      <xdr:col>19</xdr:col>
      <xdr:colOff>565979</xdr:colOff>
      <xdr:row>5</xdr:row>
      <xdr:rowOff>124241</xdr:rowOff>
    </xdr:to>
    <xdr:sp macro="[0]!TVS_Motors" textlink="">
      <xdr:nvSpPr>
        <xdr:cNvPr id="40" name="Rectangle: Rounded Corners 39">
          <a:extLst>
            <a:ext uri="{FF2B5EF4-FFF2-40B4-BE49-F238E27FC236}">
              <a16:creationId xmlns:a16="http://schemas.microsoft.com/office/drawing/2014/main" id="{A0B6F7AB-8499-44C1-BD18-6044A273B2FA}"/>
            </a:ext>
          </a:extLst>
        </xdr:cNvPr>
        <xdr:cNvSpPr/>
      </xdr:nvSpPr>
      <xdr:spPr>
        <a:xfrm>
          <a:off x="10629349" y="220871"/>
          <a:ext cx="1477065" cy="869674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>
                  <a:lumMod val="65000"/>
                  <a:lumOff val="35000"/>
                </a:schemeClr>
              </a:solidFill>
            </a:rPr>
            <a:t>TVS Motors</a:t>
          </a:r>
        </a:p>
      </xdr:txBody>
    </xdr:sp>
    <xdr:clientData/>
  </xdr:twoCellAnchor>
  <xdr:twoCellAnchor>
    <xdr:from>
      <xdr:col>20</xdr:col>
      <xdr:colOff>110986</xdr:colOff>
      <xdr:row>1</xdr:row>
      <xdr:rowOff>28161</xdr:rowOff>
    </xdr:from>
    <xdr:to>
      <xdr:col>22</xdr:col>
      <xdr:colOff>289891</xdr:colOff>
      <xdr:row>5</xdr:row>
      <xdr:rowOff>124792</xdr:rowOff>
    </xdr:to>
    <xdr:sp macro="[0]!Paytm_Nifty_Auto" textlink="">
      <xdr:nvSpPr>
        <xdr:cNvPr id="41" name="Rectangle: Rounded Corners 40">
          <a:extLst>
            <a:ext uri="{FF2B5EF4-FFF2-40B4-BE49-F238E27FC236}">
              <a16:creationId xmlns:a16="http://schemas.microsoft.com/office/drawing/2014/main" id="{BBBE24CE-B28F-4A2B-8B45-04B5005259CC}"/>
            </a:ext>
          </a:extLst>
        </xdr:cNvPr>
        <xdr:cNvSpPr/>
      </xdr:nvSpPr>
      <xdr:spPr>
        <a:xfrm>
          <a:off x="12258812" y="221422"/>
          <a:ext cx="1393688" cy="869674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>
                  <a:lumMod val="65000"/>
                  <a:lumOff val="35000"/>
                </a:schemeClr>
              </a:solidFill>
            </a:rPr>
            <a:t>Paytm</a:t>
          </a:r>
          <a:r>
            <a:rPr lang="en-US" sz="2000" baseline="0">
              <a:solidFill>
                <a:schemeClr val="tx1">
                  <a:lumMod val="65000"/>
                  <a:lumOff val="35000"/>
                </a:schemeClr>
              </a:solidFill>
            </a:rPr>
            <a:t> Nifty Auto</a:t>
          </a:r>
          <a:endParaRPr lang="en-US" sz="200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 editAs="oneCell">
    <xdr:from>
      <xdr:col>8</xdr:col>
      <xdr:colOff>496957</xdr:colOff>
      <xdr:row>21</xdr:row>
      <xdr:rowOff>179457</xdr:rowOff>
    </xdr:from>
    <xdr:to>
      <xdr:col>15</xdr:col>
      <xdr:colOff>449607</xdr:colOff>
      <xdr:row>28</xdr:row>
      <xdr:rowOff>52871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A7FF96F7-3C27-4C5C-A3DE-DD93F1E1C3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56087" y="4237935"/>
          <a:ext cx="4204390" cy="1226240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468956</xdr:colOff>
      <xdr:row>28</xdr:row>
      <xdr:rowOff>55218</xdr:rowOff>
    </xdr:from>
    <xdr:to>
      <xdr:col>15</xdr:col>
      <xdr:colOff>489858</xdr:colOff>
      <xdr:row>35</xdr:row>
      <xdr:rowOff>131418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id="{3A346B7E-6D42-461D-BB46-25EF1472BB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67527" y="5389218"/>
          <a:ext cx="4307152" cy="1409700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16</xdr:col>
      <xdr:colOff>0</xdr:colOff>
      <xdr:row>21</xdr:row>
      <xdr:rowOff>122464</xdr:rowOff>
    </xdr:from>
    <xdr:to>
      <xdr:col>23</xdr:col>
      <xdr:colOff>270865</xdr:colOff>
      <xdr:row>35</xdr:row>
      <xdr:rowOff>188571</xdr:rowOff>
    </xdr:to>
    <xdr:graphicFrame macro="">
      <xdr:nvGraphicFramePr>
        <xdr:cNvPr id="44" name="Chart 43">
          <a:extLst>
            <a:ext uri="{FF2B5EF4-FFF2-40B4-BE49-F238E27FC236}">
              <a16:creationId xmlns:a16="http://schemas.microsoft.com/office/drawing/2014/main" id="{86934ECE-A66A-40E9-A947-0014A5A2FE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9</xdr:col>
      <xdr:colOff>489856</xdr:colOff>
      <xdr:row>7</xdr:row>
      <xdr:rowOff>149677</xdr:rowOff>
    </xdr:from>
    <xdr:to>
      <xdr:col>15</xdr:col>
      <xdr:colOff>498975</xdr:colOff>
      <xdr:row>18</xdr:row>
      <xdr:rowOff>108856</xdr:rowOff>
    </xdr:to>
    <xdr:pic>
      <xdr:nvPicPr>
        <xdr:cNvPr id="45" name="Picture 44" descr="C:\Users\hp\Downloads\WhatsApp Image 2024-02-26 at 9.21.36 PM.jpeg">
          <a:extLst>
            <a:ext uri="{FF2B5EF4-FFF2-40B4-BE49-F238E27FC236}">
              <a16:creationId xmlns:a16="http://schemas.microsoft.com/office/drawing/2014/main" id="{47B4874B-BF48-4E2C-A2C6-E614A1A0FD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00749" y="1483177"/>
          <a:ext cx="3683047" cy="2054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15119</xdr:colOff>
      <xdr:row>6</xdr:row>
      <xdr:rowOff>125648</xdr:rowOff>
    </xdr:from>
    <xdr:to>
      <xdr:col>9</xdr:col>
      <xdr:colOff>162872</xdr:colOff>
      <xdr:row>20</xdr:row>
      <xdr:rowOff>126008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719017-01C2-4F43-9BB8-DEB2EFFDF5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215630</xdr:colOff>
      <xdr:row>7</xdr:row>
      <xdr:rowOff>100027</xdr:rowOff>
    </xdr:from>
    <xdr:to>
      <xdr:col>20</xdr:col>
      <xdr:colOff>416608</xdr:colOff>
      <xdr:row>9</xdr:row>
      <xdr:rowOff>122980</xdr:rowOff>
    </xdr:to>
    <xdr:sp macro="" textlink="">
      <xdr:nvSpPr>
        <xdr:cNvPr id="4" name="Flowchart: Alternate Process 3">
          <a:extLst>
            <a:ext uri="{FF2B5EF4-FFF2-40B4-BE49-F238E27FC236}">
              <a16:creationId xmlns:a16="http://schemas.microsoft.com/office/drawing/2014/main" id="{80D3B11E-183E-41F7-AC53-4007C642CC50}"/>
            </a:ext>
          </a:extLst>
        </xdr:cNvPr>
        <xdr:cNvSpPr/>
      </xdr:nvSpPr>
      <xdr:spPr>
        <a:xfrm>
          <a:off x="9969230" y="1433527"/>
          <a:ext cx="2639378" cy="403953"/>
        </a:xfrm>
        <a:prstGeom prst="flowChartAlternateProcess">
          <a:avLst/>
        </a:prstGeom>
        <a:solidFill>
          <a:schemeClr val="bg1"/>
        </a:solidFill>
        <a:ln w="28575"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>
              <a:solidFill>
                <a:sysClr val="windowText" lastClr="000000"/>
              </a:solidFill>
            </a:rPr>
            <a:t>OPERATING PROFIT</a:t>
          </a:r>
          <a:r>
            <a:rPr lang="en-US" sz="1600" baseline="0">
              <a:solidFill>
                <a:sysClr val="windowText" lastClr="000000"/>
              </a:solidFill>
            </a:rPr>
            <a:t> MARGIN</a:t>
          </a:r>
          <a:endParaRPr lang="en-US" sz="16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16</xdr:col>
      <xdr:colOff>230320</xdr:colOff>
      <xdr:row>18</xdr:row>
      <xdr:rowOff>21710</xdr:rowOff>
    </xdr:from>
    <xdr:to>
      <xdr:col>20</xdr:col>
      <xdr:colOff>431298</xdr:colOff>
      <xdr:row>20</xdr:row>
      <xdr:rowOff>44662</xdr:rowOff>
    </xdr:to>
    <xdr:sp macro="" textlink="">
      <xdr:nvSpPr>
        <xdr:cNvPr id="5" name="Flowchart: Alternate Process 4">
          <a:extLst>
            <a:ext uri="{FF2B5EF4-FFF2-40B4-BE49-F238E27FC236}">
              <a16:creationId xmlns:a16="http://schemas.microsoft.com/office/drawing/2014/main" id="{5F4C0116-5613-4E3B-B066-7227D78284C7}"/>
            </a:ext>
          </a:extLst>
        </xdr:cNvPr>
        <xdr:cNvSpPr/>
      </xdr:nvSpPr>
      <xdr:spPr>
        <a:xfrm>
          <a:off x="9983920" y="3450710"/>
          <a:ext cx="2639378" cy="403952"/>
        </a:xfrm>
        <a:prstGeom prst="flowChartAlternateProcess">
          <a:avLst/>
        </a:prstGeom>
        <a:solidFill>
          <a:schemeClr val="bg1"/>
        </a:solidFill>
        <a:ln w="28575"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>
              <a:solidFill>
                <a:sysClr val="windowText" lastClr="000000"/>
              </a:solidFill>
            </a:rPr>
            <a:t>CURRENT</a:t>
          </a:r>
          <a:r>
            <a:rPr lang="en-US" sz="1600" baseline="0">
              <a:solidFill>
                <a:sysClr val="windowText" lastClr="000000"/>
              </a:solidFill>
            </a:rPr>
            <a:t> RATIO</a:t>
          </a:r>
          <a:endParaRPr lang="en-US" sz="16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16</xdr:col>
      <xdr:colOff>222057</xdr:colOff>
      <xdr:row>14</xdr:row>
      <xdr:rowOff>94978</xdr:rowOff>
    </xdr:from>
    <xdr:to>
      <xdr:col>20</xdr:col>
      <xdr:colOff>423035</xdr:colOff>
      <xdr:row>16</xdr:row>
      <xdr:rowOff>117930</xdr:rowOff>
    </xdr:to>
    <xdr:sp macro="" textlink="">
      <xdr:nvSpPr>
        <xdr:cNvPr id="6" name="Flowchart: Alternate Process 5">
          <a:extLst>
            <a:ext uri="{FF2B5EF4-FFF2-40B4-BE49-F238E27FC236}">
              <a16:creationId xmlns:a16="http://schemas.microsoft.com/office/drawing/2014/main" id="{85508DF3-CB26-4079-8359-6F2DCA2A6CDF}"/>
            </a:ext>
          </a:extLst>
        </xdr:cNvPr>
        <xdr:cNvSpPr/>
      </xdr:nvSpPr>
      <xdr:spPr>
        <a:xfrm>
          <a:off x="9975657" y="2761978"/>
          <a:ext cx="2639378" cy="403952"/>
        </a:xfrm>
        <a:prstGeom prst="flowChartAlternateProcess">
          <a:avLst/>
        </a:prstGeom>
        <a:solidFill>
          <a:schemeClr val="bg1"/>
        </a:solidFill>
        <a:ln w="28575"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>
              <a:solidFill>
                <a:sysClr val="windowText" lastClr="000000"/>
              </a:solidFill>
            </a:rPr>
            <a:t>ASSET</a:t>
          </a:r>
          <a:r>
            <a:rPr lang="en-US" sz="1600" baseline="0">
              <a:solidFill>
                <a:sysClr val="windowText" lastClr="000000"/>
              </a:solidFill>
            </a:rPr>
            <a:t> TURNOVER RATIO</a:t>
          </a:r>
          <a:endParaRPr lang="en-US" sz="16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16</xdr:col>
      <xdr:colOff>225270</xdr:colOff>
      <xdr:row>10</xdr:row>
      <xdr:rowOff>178522</xdr:rowOff>
    </xdr:from>
    <xdr:to>
      <xdr:col>20</xdr:col>
      <xdr:colOff>426248</xdr:colOff>
      <xdr:row>13</xdr:row>
      <xdr:rowOff>16661</xdr:rowOff>
    </xdr:to>
    <xdr:sp macro="" textlink="">
      <xdr:nvSpPr>
        <xdr:cNvPr id="7" name="Flowchart: Alternate Process 6">
          <a:extLst>
            <a:ext uri="{FF2B5EF4-FFF2-40B4-BE49-F238E27FC236}">
              <a16:creationId xmlns:a16="http://schemas.microsoft.com/office/drawing/2014/main" id="{C749FAEB-9302-4175-97AF-9E928CD855F2}"/>
            </a:ext>
          </a:extLst>
        </xdr:cNvPr>
        <xdr:cNvSpPr/>
      </xdr:nvSpPr>
      <xdr:spPr>
        <a:xfrm>
          <a:off x="9978870" y="2083522"/>
          <a:ext cx="2639378" cy="409639"/>
        </a:xfrm>
        <a:prstGeom prst="flowChartAlternateProcess">
          <a:avLst/>
        </a:prstGeom>
        <a:solidFill>
          <a:schemeClr val="bg1"/>
        </a:solidFill>
        <a:ln w="28575"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>
              <a:solidFill>
                <a:sysClr val="windowText" lastClr="000000"/>
              </a:solidFill>
            </a:rPr>
            <a:t>DEBT</a:t>
          </a:r>
          <a:r>
            <a:rPr lang="en-US" sz="1600" baseline="0">
              <a:solidFill>
                <a:sysClr val="windowText" lastClr="000000"/>
              </a:solidFill>
            </a:rPr>
            <a:t> TO EQUITY RATIO</a:t>
          </a:r>
          <a:endParaRPr lang="en-US" sz="16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20</xdr:col>
      <xdr:colOff>500152</xdr:colOff>
      <xdr:row>7</xdr:row>
      <xdr:rowOff>103240</xdr:rowOff>
    </xdr:from>
    <xdr:to>
      <xdr:col>22</xdr:col>
      <xdr:colOff>382180</xdr:colOff>
      <xdr:row>9</xdr:row>
      <xdr:rowOff>145931</xdr:rowOff>
    </xdr:to>
    <xdr:sp macro="" textlink="">
      <xdr:nvSpPr>
        <xdr:cNvPr id="8" name="Flowchart: Alternate Process 7">
          <a:extLst>
            <a:ext uri="{FF2B5EF4-FFF2-40B4-BE49-F238E27FC236}">
              <a16:creationId xmlns:a16="http://schemas.microsoft.com/office/drawing/2014/main" id="{DB57262E-6557-4148-A616-A04A024260F0}"/>
            </a:ext>
          </a:extLst>
        </xdr:cNvPr>
        <xdr:cNvSpPr/>
      </xdr:nvSpPr>
      <xdr:spPr>
        <a:xfrm>
          <a:off x="12692152" y="1436740"/>
          <a:ext cx="1101228" cy="423691"/>
        </a:xfrm>
        <a:prstGeom prst="flowChartAlternateProcess">
          <a:avLst/>
        </a:prstGeom>
        <a:solidFill>
          <a:schemeClr val="bg1"/>
        </a:solidFill>
        <a:ln w="28575"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>
              <a:solidFill>
                <a:sysClr val="windowText" lastClr="000000"/>
              </a:solidFill>
            </a:rPr>
            <a:t>5.65%</a:t>
          </a:r>
        </a:p>
      </xdr:txBody>
    </xdr:sp>
    <xdr:clientData/>
  </xdr:twoCellAnchor>
  <xdr:twoCellAnchor>
    <xdr:from>
      <xdr:col>20</xdr:col>
      <xdr:colOff>503365</xdr:colOff>
      <xdr:row>10</xdr:row>
      <xdr:rowOff>163833</xdr:rowOff>
    </xdr:from>
    <xdr:to>
      <xdr:col>22</xdr:col>
      <xdr:colOff>385393</xdr:colOff>
      <xdr:row>13</xdr:row>
      <xdr:rowOff>21710</xdr:rowOff>
    </xdr:to>
    <xdr:sp macro="" textlink="">
      <xdr:nvSpPr>
        <xdr:cNvPr id="9" name="Flowchart: Alternate Process 8">
          <a:extLst>
            <a:ext uri="{FF2B5EF4-FFF2-40B4-BE49-F238E27FC236}">
              <a16:creationId xmlns:a16="http://schemas.microsoft.com/office/drawing/2014/main" id="{78ACF2B1-2863-4B70-9A11-DA2FDD12A74A}"/>
            </a:ext>
          </a:extLst>
        </xdr:cNvPr>
        <xdr:cNvSpPr/>
      </xdr:nvSpPr>
      <xdr:spPr>
        <a:xfrm>
          <a:off x="12695365" y="2068833"/>
          <a:ext cx="1101228" cy="429377"/>
        </a:xfrm>
        <a:prstGeom prst="flowChartAlternateProcess">
          <a:avLst/>
        </a:prstGeom>
        <a:solidFill>
          <a:schemeClr val="bg1"/>
        </a:solidFill>
        <a:ln w="28575"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>
              <a:solidFill>
                <a:sysClr val="windowText" lastClr="000000"/>
              </a:solidFill>
            </a:rPr>
            <a:t>0.37:1</a:t>
          </a:r>
        </a:p>
      </xdr:txBody>
    </xdr:sp>
    <xdr:clientData/>
  </xdr:twoCellAnchor>
  <xdr:twoCellAnchor>
    <xdr:from>
      <xdr:col>20</xdr:col>
      <xdr:colOff>506579</xdr:colOff>
      <xdr:row>14</xdr:row>
      <xdr:rowOff>86715</xdr:rowOff>
    </xdr:from>
    <xdr:to>
      <xdr:col>22</xdr:col>
      <xdr:colOff>388607</xdr:colOff>
      <xdr:row>16</xdr:row>
      <xdr:rowOff>129405</xdr:rowOff>
    </xdr:to>
    <xdr:sp macro="" textlink="">
      <xdr:nvSpPr>
        <xdr:cNvPr id="10" name="Flowchart: Alternate Process 9">
          <a:extLst>
            <a:ext uri="{FF2B5EF4-FFF2-40B4-BE49-F238E27FC236}">
              <a16:creationId xmlns:a16="http://schemas.microsoft.com/office/drawing/2014/main" id="{98235724-313C-4D03-B622-9B5FB6E80646}"/>
            </a:ext>
          </a:extLst>
        </xdr:cNvPr>
        <xdr:cNvSpPr/>
      </xdr:nvSpPr>
      <xdr:spPr>
        <a:xfrm>
          <a:off x="12698579" y="2753715"/>
          <a:ext cx="1101228" cy="423690"/>
        </a:xfrm>
        <a:prstGeom prst="flowChartAlternateProcess">
          <a:avLst/>
        </a:prstGeom>
        <a:solidFill>
          <a:schemeClr val="bg1"/>
        </a:solidFill>
        <a:ln w="28575"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>
              <a:solidFill>
                <a:sysClr val="windowText" lastClr="000000"/>
              </a:solidFill>
            </a:rPr>
            <a:t>2.04:1</a:t>
          </a:r>
        </a:p>
      </xdr:txBody>
    </xdr:sp>
    <xdr:clientData/>
  </xdr:twoCellAnchor>
  <xdr:twoCellAnchor>
    <xdr:from>
      <xdr:col>20</xdr:col>
      <xdr:colOff>521268</xdr:colOff>
      <xdr:row>18</xdr:row>
      <xdr:rowOff>18497</xdr:rowOff>
    </xdr:from>
    <xdr:to>
      <xdr:col>22</xdr:col>
      <xdr:colOff>403296</xdr:colOff>
      <xdr:row>20</xdr:row>
      <xdr:rowOff>28135</xdr:rowOff>
    </xdr:to>
    <xdr:sp macro="" textlink="">
      <xdr:nvSpPr>
        <xdr:cNvPr id="11" name="Flowchart: Alternate Process 10">
          <a:extLst>
            <a:ext uri="{FF2B5EF4-FFF2-40B4-BE49-F238E27FC236}">
              <a16:creationId xmlns:a16="http://schemas.microsoft.com/office/drawing/2014/main" id="{837D9257-1C59-4E8F-A05B-8C6F258C0468}"/>
            </a:ext>
          </a:extLst>
        </xdr:cNvPr>
        <xdr:cNvSpPr/>
      </xdr:nvSpPr>
      <xdr:spPr>
        <a:xfrm>
          <a:off x="12713268" y="3447497"/>
          <a:ext cx="1101228" cy="390638"/>
        </a:xfrm>
        <a:prstGeom prst="flowChartAlternateProcess">
          <a:avLst/>
        </a:prstGeom>
        <a:solidFill>
          <a:schemeClr val="bg1"/>
        </a:solidFill>
        <a:ln w="28575"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>
              <a:solidFill>
                <a:sysClr val="windowText" lastClr="000000"/>
              </a:solidFill>
            </a:rPr>
            <a:t>0.61:1</a:t>
          </a:r>
        </a:p>
      </xdr:txBody>
    </xdr:sp>
    <xdr:clientData/>
  </xdr:twoCellAnchor>
  <xdr:twoCellAnchor>
    <xdr:from>
      <xdr:col>0</xdr:col>
      <xdr:colOff>254469</xdr:colOff>
      <xdr:row>22</xdr:row>
      <xdr:rowOff>832</xdr:rowOff>
    </xdr:from>
    <xdr:to>
      <xdr:col>8</xdr:col>
      <xdr:colOff>362184</xdr:colOff>
      <xdr:row>36</xdr:row>
      <xdr:rowOff>25068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53A5E91D-69AE-4248-BB4F-B469A2670FE1}"/>
            </a:ext>
          </a:extLst>
        </xdr:cNvPr>
        <xdr:cNvSpPr/>
      </xdr:nvSpPr>
      <xdr:spPr>
        <a:xfrm>
          <a:off x="254469" y="4252571"/>
          <a:ext cx="4966845" cy="2729888"/>
        </a:xfrm>
        <a:prstGeom prst="roundRect">
          <a:avLst/>
        </a:prstGeom>
        <a:solidFill>
          <a:sysClr val="window" lastClr="FFFFFF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  <a:p>
          <a:pPr algn="l"/>
          <a:endParaRPr lang="en-US" sz="1100"/>
        </a:p>
        <a:p>
          <a:pPr algn="l"/>
          <a:endParaRPr lang="en-US" sz="1100"/>
        </a:p>
        <a:p>
          <a:pPr algn="l"/>
          <a:endParaRPr lang="en-US" sz="1100"/>
        </a:p>
        <a:p>
          <a:pPr algn="ctr"/>
          <a:r>
            <a:rPr lang="en-US" sz="1800">
              <a:solidFill>
                <a:sysClr val="windowText" lastClr="000000"/>
              </a:solidFill>
            </a:rPr>
            <a:t>M-score = −4.84 + 0.92 × DSRI + 0.528 × GMI + 0.404 × AQI + 0.892 × SGI + 0.115 × DEPI −0.172 × SGAI + 4.679 × TATA − 0.327 × LVGI </a:t>
          </a:r>
        </a:p>
        <a:p>
          <a:pPr algn="ctr"/>
          <a:br>
            <a:rPr lang="en-US" sz="1800">
              <a:solidFill>
                <a:sysClr val="windowText" lastClr="000000"/>
              </a:solidFill>
            </a:rPr>
          </a:br>
          <a:endParaRPr lang="en-US" sz="1800">
            <a:solidFill>
              <a:sysClr val="windowText" lastClr="000000"/>
            </a:solidFill>
          </a:endParaRPr>
        </a:p>
        <a:p>
          <a:pPr algn="ctr"/>
          <a:endParaRPr lang="en-US" sz="1600">
            <a:solidFill>
              <a:sysClr val="windowText" lastClr="000000"/>
            </a:solidFill>
          </a:endParaRPr>
        </a:p>
        <a:p>
          <a:pPr algn="ctr"/>
          <a:endParaRPr lang="en-US" sz="1600">
            <a:solidFill>
              <a:sysClr val="windowText" lastClr="000000"/>
            </a:solidFill>
          </a:endParaRPr>
        </a:p>
      </xdr:txBody>
    </xdr:sp>
    <xdr:clientData/>
  </xdr:twoCellAnchor>
  <xdr:oneCellAnchor>
    <xdr:from>
      <xdr:col>0</xdr:col>
      <xdr:colOff>427393</xdr:colOff>
      <xdr:row>22</xdr:row>
      <xdr:rowOff>99907</xdr:rowOff>
    </xdr:from>
    <xdr:ext cx="4713214" cy="781111"/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60D3E178-4FB4-470B-B015-D2861BA73DFD}"/>
            </a:ext>
          </a:extLst>
        </xdr:cNvPr>
        <xdr:cNvSpPr/>
      </xdr:nvSpPr>
      <xdr:spPr>
        <a:xfrm>
          <a:off x="427393" y="4290907"/>
          <a:ext cx="4713214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44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BENEISH M - SCORE</a:t>
          </a:r>
        </a:p>
      </xdr:txBody>
    </xdr:sp>
    <xdr:clientData/>
  </xdr:oneCellAnchor>
  <xdr:oneCellAnchor>
    <xdr:from>
      <xdr:col>2</xdr:col>
      <xdr:colOff>341287</xdr:colOff>
      <xdr:row>30</xdr:row>
      <xdr:rowOff>127302</xdr:rowOff>
    </xdr:from>
    <xdr:ext cx="2349108" cy="937629"/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35034840-4310-486B-BE0D-69B30360E2B3}"/>
            </a:ext>
          </a:extLst>
        </xdr:cNvPr>
        <xdr:cNvSpPr/>
      </xdr:nvSpPr>
      <xdr:spPr>
        <a:xfrm>
          <a:off x="1560487" y="5842302"/>
          <a:ext cx="2349108" cy="93762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-1.3494</a:t>
          </a:r>
        </a:p>
      </xdr:txBody>
    </xdr:sp>
    <xdr:clientData/>
  </xdr:oneCellAnchor>
  <xdr:twoCellAnchor>
    <xdr:from>
      <xdr:col>1</xdr:col>
      <xdr:colOff>193261</xdr:colOff>
      <xdr:row>1</xdr:row>
      <xdr:rowOff>27609</xdr:rowOff>
    </xdr:from>
    <xdr:to>
      <xdr:col>3</xdr:col>
      <xdr:colOff>455543</xdr:colOff>
      <xdr:row>5</xdr:row>
      <xdr:rowOff>124240</xdr:rowOff>
    </xdr:to>
    <xdr:sp macro="[0]!Ashok_Leyland" textlink="">
      <xdr:nvSpPr>
        <xdr:cNvPr id="35" name="Rectangle: Rounded Corners 34">
          <a:extLst>
            <a:ext uri="{FF2B5EF4-FFF2-40B4-BE49-F238E27FC236}">
              <a16:creationId xmlns:a16="http://schemas.microsoft.com/office/drawing/2014/main" id="{2413DEAC-E446-4BBB-964A-2E0921198794}"/>
            </a:ext>
          </a:extLst>
        </xdr:cNvPr>
        <xdr:cNvSpPr/>
      </xdr:nvSpPr>
      <xdr:spPr>
        <a:xfrm>
          <a:off x="800652" y="220870"/>
          <a:ext cx="1477065" cy="869674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>
                  <a:lumMod val="65000"/>
                  <a:lumOff val="35000"/>
                </a:schemeClr>
              </a:solidFill>
            </a:rPr>
            <a:t>Ashok Leyland</a:t>
          </a:r>
        </a:p>
      </xdr:txBody>
    </xdr:sp>
    <xdr:clientData/>
  </xdr:twoCellAnchor>
  <xdr:twoCellAnchor>
    <xdr:from>
      <xdr:col>4</xdr:col>
      <xdr:colOff>13805</xdr:colOff>
      <xdr:row>1</xdr:row>
      <xdr:rowOff>27609</xdr:rowOff>
    </xdr:from>
    <xdr:to>
      <xdr:col>6</xdr:col>
      <xdr:colOff>276087</xdr:colOff>
      <xdr:row>5</xdr:row>
      <xdr:rowOff>124240</xdr:rowOff>
    </xdr:to>
    <xdr:sp macro="[0]!Bajaj_Auto" textlink="">
      <xdr:nvSpPr>
        <xdr:cNvPr id="36" name="Rectangle: Rounded Corners 35">
          <a:extLst>
            <a:ext uri="{FF2B5EF4-FFF2-40B4-BE49-F238E27FC236}">
              <a16:creationId xmlns:a16="http://schemas.microsoft.com/office/drawing/2014/main" id="{EA9AE875-DA28-4767-B7BD-96BC80C472B5}"/>
            </a:ext>
          </a:extLst>
        </xdr:cNvPr>
        <xdr:cNvSpPr/>
      </xdr:nvSpPr>
      <xdr:spPr>
        <a:xfrm>
          <a:off x="2443370" y="220870"/>
          <a:ext cx="1477065" cy="869674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>
                  <a:lumMod val="65000"/>
                  <a:lumOff val="35000"/>
                </a:schemeClr>
              </a:solidFill>
            </a:rPr>
            <a:t>Bajaj Auto</a:t>
          </a:r>
        </a:p>
      </xdr:txBody>
    </xdr:sp>
    <xdr:clientData/>
  </xdr:twoCellAnchor>
  <xdr:twoCellAnchor>
    <xdr:from>
      <xdr:col>6</xdr:col>
      <xdr:colOff>456096</xdr:colOff>
      <xdr:row>1</xdr:row>
      <xdr:rowOff>28161</xdr:rowOff>
    </xdr:from>
    <xdr:to>
      <xdr:col>9</xdr:col>
      <xdr:colOff>110987</xdr:colOff>
      <xdr:row>5</xdr:row>
      <xdr:rowOff>124792</xdr:rowOff>
    </xdr:to>
    <xdr:sp macro="[0]!Eicher_Motors" textlink="">
      <xdr:nvSpPr>
        <xdr:cNvPr id="37" name="Rectangle: Rounded Corners 36">
          <a:extLst>
            <a:ext uri="{FF2B5EF4-FFF2-40B4-BE49-F238E27FC236}">
              <a16:creationId xmlns:a16="http://schemas.microsoft.com/office/drawing/2014/main" id="{BD3CFF80-9976-4171-8DEC-790CDCE98D8D}"/>
            </a:ext>
          </a:extLst>
        </xdr:cNvPr>
        <xdr:cNvSpPr/>
      </xdr:nvSpPr>
      <xdr:spPr>
        <a:xfrm>
          <a:off x="4100444" y="221422"/>
          <a:ext cx="1477065" cy="869674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>
                  <a:lumMod val="65000"/>
                  <a:lumOff val="35000"/>
                </a:schemeClr>
              </a:solidFill>
            </a:rPr>
            <a:t>Eicher Mototrs</a:t>
          </a:r>
        </a:p>
      </xdr:txBody>
    </xdr:sp>
    <xdr:clientData/>
  </xdr:twoCellAnchor>
  <xdr:twoCellAnchor>
    <xdr:from>
      <xdr:col>9</xdr:col>
      <xdr:colOff>263388</xdr:colOff>
      <xdr:row>1</xdr:row>
      <xdr:rowOff>28713</xdr:rowOff>
    </xdr:from>
    <xdr:to>
      <xdr:col>11</xdr:col>
      <xdr:colOff>525671</xdr:colOff>
      <xdr:row>5</xdr:row>
      <xdr:rowOff>125344</xdr:rowOff>
    </xdr:to>
    <xdr:sp macro="[0]!Hero_Motocorp" textlink="">
      <xdr:nvSpPr>
        <xdr:cNvPr id="38" name="Rectangle: Rounded Corners 37">
          <a:extLst>
            <a:ext uri="{FF2B5EF4-FFF2-40B4-BE49-F238E27FC236}">
              <a16:creationId xmlns:a16="http://schemas.microsoft.com/office/drawing/2014/main" id="{D3BF23C9-6429-4D27-8DBC-ED6043886A1E}"/>
            </a:ext>
          </a:extLst>
        </xdr:cNvPr>
        <xdr:cNvSpPr/>
      </xdr:nvSpPr>
      <xdr:spPr>
        <a:xfrm>
          <a:off x="5729910" y="221974"/>
          <a:ext cx="1477065" cy="869674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>
                  <a:lumMod val="65000"/>
                  <a:lumOff val="35000"/>
                </a:schemeClr>
              </a:solidFill>
            </a:rPr>
            <a:t>Hero Motocorp</a:t>
          </a:r>
        </a:p>
      </xdr:txBody>
    </xdr:sp>
    <xdr:clientData/>
  </xdr:twoCellAnchor>
  <xdr:twoCellAnchor>
    <xdr:from>
      <xdr:col>12</xdr:col>
      <xdr:colOff>70678</xdr:colOff>
      <xdr:row>1</xdr:row>
      <xdr:rowOff>43069</xdr:rowOff>
    </xdr:from>
    <xdr:to>
      <xdr:col>14</xdr:col>
      <xdr:colOff>332961</xdr:colOff>
      <xdr:row>5</xdr:row>
      <xdr:rowOff>139700</xdr:rowOff>
    </xdr:to>
    <xdr:sp macro="[0]!Maruti_Suzuki" textlink="">
      <xdr:nvSpPr>
        <xdr:cNvPr id="39" name="Rectangle: Rounded Corners 38">
          <a:extLst>
            <a:ext uri="{FF2B5EF4-FFF2-40B4-BE49-F238E27FC236}">
              <a16:creationId xmlns:a16="http://schemas.microsoft.com/office/drawing/2014/main" id="{A2C52371-11E1-4062-BFA6-393CCBE049FD}"/>
            </a:ext>
          </a:extLst>
        </xdr:cNvPr>
        <xdr:cNvSpPr/>
      </xdr:nvSpPr>
      <xdr:spPr>
        <a:xfrm>
          <a:off x="7359374" y="236330"/>
          <a:ext cx="1477065" cy="869674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>
                  <a:lumMod val="65000"/>
                  <a:lumOff val="35000"/>
                </a:schemeClr>
              </a:solidFill>
            </a:rPr>
            <a:t>Maruti Suzuki</a:t>
          </a:r>
        </a:p>
      </xdr:txBody>
    </xdr:sp>
    <xdr:clientData/>
  </xdr:twoCellAnchor>
  <xdr:twoCellAnchor>
    <xdr:from>
      <xdr:col>14</xdr:col>
      <xdr:colOff>499166</xdr:colOff>
      <xdr:row>1</xdr:row>
      <xdr:rowOff>29817</xdr:rowOff>
    </xdr:from>
    <xdr:to>
      <xdr:col>17</xdr:col>
      <xdr:colOff>154057</xdr:colOff>
      <xdr:row>5</xdr:row>
      <xdr:rowOff>126448</xdr:rowOff>
    </xdr:to>
    <xdr:sp macro="[0]!Tata_Motors" textlink="">
      <xdr:nvSpPr>
        <xdr:cNvPr id="40" name="Rectangle: Rounded Corners 39">
          <a:extLst>
            <a:ext uri="{FF2B5EF4-FFF2-40B4-BE49-F238E27FC236}">
              <a16:creationId xmlns:a16="http://schemas.microsoft.com/office/drawing/2014/main" id="{72DBA129-6E28-4ED8-8A44-CAD93E5239DE}"/>
            </a:ext>
          </a:extLst>
        </xdr:cNvPr>
        <xdr:cNvSpPr/>
      </xdr:nvSpPr>
      <xdr:spPr>
        <a:xfrm>
          <a:off x="9002644" y="223078"/>
          <a:ext cx="1477065" cy="869674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>
                  <a:lumMod val="65000"/>
                  <a:lumOff val="35000"/>
                </a:schemeClr>
              </a:solidFill>
            </a:rPr>
            <a:t>Tata Motors</a:t>
          </a:r>
        </a:p>
      </xdr:txBody>
    </xdr:sp>
    <xdr:clientData/>
  </xdr:twoCellAnchor>
  <xdr:twoCellAnchor>
    <xdr:from>
      <xdr:col>17</xdr:col>
      <xdr:colOff>303696</xdr:colOff>
      <xdr:row>1</xdr:row>
      <xdr:rowOff>41415</xdr:rowOff>
    </xdr:from>
    <xdr:to>
      <xdr:col>19</xdr:col>
      <xdr:colOff>565978</xdr:colOff>
      <xdr:row>5</xdr:row>
      <xdr:rowOff>138046</xdr:rowOff>
    </xdr:to>
    <xdr:sp macro="[0]!TVS_Motors" textlink="">
      <xdr:nvSpPr>
        <xdr:cNvPr id="41" name="Rectangle: Rounded Corners 40">
          <a:extLst>
            <a:ext uri="{FF2B5EF4-FFF2-40B4-BE49-F238E27FC236}">
              <a16:creationId xmlns:a16="http://schemas.microsoft.com/office/drawing/2014/main" id="{F776D2C5-F351-4279-9F8B-789FEC9875EC}"/>
            </a:ext>
          </a:extLst>
        </xdr:cNvPr>
        <xdr:cNvSpPr/>
      </xdr:nvSpPr>
      <xdr:spPr>
        <a:xfrm>
          <a:off x="10629348" y="234676"/>
          <a:ext cx="1477065" cy="869674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tx1">
                  <a:lumMod val="65000"/>
                  <a:lumOff val="35000"/>
                </a:schemeClr>
              </a:solidFill>
            </a:rPr>
            <a:t>TVS Motors</a:t>
          </a:r>
        </a:p>
      </xdr:txBody>
    </xdr:sp>
    <xdr:clientData/>
  </xdr:twoCellAnchor>
  <xdr:twoCellAnchor>
    <xdr:from>
      <xdr:col>20</xdr:col>
      <xdr:colOff>110985</xdr:colOff>
      <xdr:row>1</xdr:row>
      <xdr:rowOff>41966</xdr:rowOff>
    </xdr:from>
    <xdr:to>
      <xdr:col>22</xdr:col>
      <xdr:colOff>289890</xdr:colOff>
      <xdr:row>5</xdr:row>
      <xdr:rowOff>138597</xdr:rowOff>
    </xdr:to>
    <xdr:sp macro="[0]!Paytm_Nifty_Auto" textlink="">
      <xdr:nvSpPr>
        <xdr:cNvPr id="42" name="Rectangle: Rounded Corners 41">
          <a:extLst>
            <a:ext uri="{FF2B5EF4-FFF2-40B4-BE49-F238E27FC236}">
              <a16:creationId xmlns:a16="http://schemas.microsoft.com/office/drawing/2014/main" id="{28A1DAB6-F3FC-4FE2-99EE-53421C724C32}"/>
            </a:ext>
          </a:extLst>
        </xdr:cNvPr>
        <xdr:cNvSpPr/>
      </xdr:nvSpPr>
      <xdr:spPr>
        <a:xfrm>
          <a:off x="12258811" y="235227"/>
          <a:ext cx="1393688" cy="869674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>
                  <a:lumMod val="65000"/>
                  <a:lumOff val="35000"/>
                </a:schemeClr>
              </a:solidFill>
            </a:rPr>
            <a:t>Paytm</a:t>
          </a:r>
          <a:r>
            <a:rPr lang="en-US" sz="2000" baseline="0">
              <a:solidFill>
                <a:schemeClr val="tx1">
                  <a:lumMod val="65000"/>
                  <a:lumOff val="35000"/>
                </a:schemeClr>
              </a:solidFill>
            </a:rPr>
            <a:t> Nifty Auto</a:t>
          </a:r>
          <a:endParaRPr lang="en-US" sz="200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16</xdr:col>
      <xdr:colOff>73105</xdr:colOff>
      <xdr:row>21</xdr:row>
      <xdr:rowOff>179034</xdr:rowOff>
    </xdr:from>
    <xdr:to>
      <xdr:col>23</xdr:col>
      <xdr:colOff>378481</xdr:colOff>
      <xdr:row>35</xdr:row>
      <xdr:rowOff>137326</xdr:rowOff>
    </xdr:to>
    <xdr:graphicFrame macro="">
      <xdr:nvGraphicFramePr>
        <xdr:cNvPr id="44" name="Chart 43">
          <a:extLst>
            <a:ext uri="{FF2B5EF4-FFF2-40B4-BE49-F238E27FC236}">
              <a16:creationId xmlns:a16="http://schemas.microsoft.com/office/drawing/2014/main" id="{97C95B3C-79C7-41CF-868C-9D9DC921C4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455543</xdr:colOff>
      <xdr:row>28</xdr:row>
      <xdr:rowOff>55217</xdr:rowOff>
    </xdr:from>
    <xdr:to>
      <xdr:col>15</xdr:col>
      <xdr:colOff>607390</xdr:colOff>
      <xdr:row>35</xdr:row>
      <xdr:rowOff>131417</xdr:rowOff>
    </xdr:to>
    <xdr:pic>
      <xdr:nvPicPr>
        <xdr:cNvPr id="45" name="Picture 44">
          <a:extLst>
            <a:ext uri="{FF2B5EF4-FFF2-40B4-BE49-F238E27FC236}">
              <a16:creationId xmlns:a16="http://schemas.microsoft.com/office/drawing/2014/main" id="{27DBF07A-6169-45EC-8517-D7E0086EA9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14673" y="5466521"/>
          <a:ext cx="4403587" cy="1429026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469348</xdr:colOff>
      <xdr:row>21</xdr:row>
      <xdr:rowOff>151848</xdr:rowOff>
    </xdr:from>
    <xdr:to>
      <xdr:col>15</xdr:col>
      <xdr:colOff>593585</xdr:colOff>
      <xdr:row>28</xdr:row>
      <xdr:rowOff>52870</xdr:rowOff>
    </xdr:to>
    <xdr:pic>
      <xdr:nvPicPr>
        <xdr:cNvPr id="46" name="Picture 45">
          <a:extLst>
            <a:ext uri="{FF2B5EF4-FFF2-40B4-BE49-F238E27FC236}">
              <a16:creationId xmlns:a16="http://schemas.microsoft.com/office/drawing/2014/main" id="{CC2AC045-996D-4236-A2E5-05FC128F60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28478" y="4210326"/>
          <a:ext cx="4375977" cy="1253848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341194</xdr:colOff>
      <xdr:row>6</xdr:row>
      <xdr:rowOff>127616</xdr:rowOff>
    </xdr:from>
    <xdr:to>
      <xdr:col>15</xdr:col>
      <xdr:colOff>222590</xdr:colOff>
      <xdr:row>20</xdr:row>
      <xdr:rowOff>127947</xdr:rowOff>
    </xdr:to>
    <xdr:pic>
      <xdr:nvPicPr>
        <xdr:cNvPr id="47" name="Picture 46" descr="C:\Users\hp\Downloads\WhatsApp Image 2024-02-26 at 9.21.12 PM.jpeg">
          <a:extLst>
            <a:ext uri="{FF2B5EF4-FFF2-40B4-BE49-F238E27FC236}">
              <a16:creationId xmlns:a16="http://schemas.microsoft.com/office/drawing/2014/main" id="{B088C64A-0E71-48FC-96C9-527E028BB2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54254" y="1236497"/>
          <a:ext cx="2937926" cy="25877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370288</xdr:colOff>
      <xdr:row>9</xdr:row>
      <xdr:rowOff>69855</xdr:rowOff>
    </xdr:from>
    <xdr:to>
      <xdr:col>10</xdr:col>
      <xdr:colOff>478002</xdr:colOff>
      <xdr:row>23</xdr:row>
      <xdr:rowOff>94091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CB11D9D0-C33C-4978-A8C3-E0C3607785EB}"/>
            </a:ext>
          </a:extLst>
        </xdr:cNvPr>
        <xdr:cNvSpPr/>
      </xdr:nvSpPr>
      <xdr:spPr>
        <a:xfrm>
          <a:off x="1597237" y="1813414"/>
          <a:ext cx="5015511" cy="2736440"/>
        </a:xfrm>
        <a:prstGeom prst="roundRect">
          <a:avLst/>
        </a:prstGeom>
        <a:solidFill>
          <a:sysClr val="window" lastClr="FFFFFF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  <a:p>
          <a:pPr algn="l"/>
          <a:endParaRPr lang="en-US" sz="1100"/>
        </a:p>
        <a:p>
          <a:pPr algn="l"/>
          <a:endParaRPr lang="en-US" sz="1100"/>
        </a:p>
        <a:p>
          <a:pPr algn="l"/>
          <a:endParaRPr lang="en-US" sz="1100"/>
        </a:p>
        <a:p>
          <a:pPr algn="ctr"/>
          <a:r>
            <a:rPr lang="en-US" sz="1800">
              <a:solidFill>
                <a:sysClr val="windowText" lastClr="000000"/>
              </a:solidFill>
            </a:rPr>
            <a:t>M-score = −4.84 + 0.92 × DSRI + 0.528 × GMI + 0.404 × AQI + 0.892 × SGI + 0.115 × DEPI −0.172 × SGAI + 4.679 × TATA − 0.327 × LVGI </a:t>
          </a:r>
        </a:p>
        <a:p>
          <a:pPr algn="ctr"/>
          <a:br>
            <a:rPr lang="en-US" sz="1800">
              <a:solidFill>
                <a:sysClr val="windowText" lastClr="000000"/>
              </a:solidFill>
            </a:rPr>
          </a:br>
          <a:endParaRPr lang="en-US" sz="1800">
            <a:solidFill>
              <a:sysClr val="windowText" lastClr="000000"/>
            </a:solidFill>
          </a:endParaRPr>
        </a:p>
        <a:p>
          <a:pPr algn="ctr"/>
          <a:endParaRPr lang="en-US" sz="1600">
            <a:solidFill>
              <a:sysClr val="windowText" lastClr="000000"/>
            </a:solidFill>
          </a:endParaRPr>
        </a:p>
        <a:p>
          <a:pPr algn="ctr"/>
          <a:endParaRPr lang="en-US" sz="1600">
            <a:solidFill>
              <a:sysClr val="windowText" lastClr="000000"/>
            </a:solidFill>
          </a:endParaRPr>
        </a:p>
      </xdr:txBody>
    </xdr:sp>
    <xdr:clientData/>
  </xdr:twoCellAnchor>
  <xdr:oneCellAnchor>
    <xdr:from>
      <xdr:col>2</xdr:col>
      <xdr:colOff>564032</xdr:colOff>
      <xdr:row>10</xdr:row>
      <xdr:rowOff>7487</xdr:rowOff>
    </xdr:from>
    <xdr:ext cx="4713214" cy="781111"/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BA83C1A8-ACCF-4476-98DD-840ED945BE23}"/>
            </a:ext>
          </a:extLst>
        </xdr:cNvPr>
        <xdr:cNvSpPr/>
      </xdr:nvSpPr>
      <xdr:spPr>
        <a:xfrm>
          <a:off x="1790981" y="1944775"/>
          <a:ext cx="4713214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44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BENEISH M - SCORE</a:t>
          </a:r>
        </a:p>
      </xdr:txBody>
    </xdr:sp>
    <xdr:clientData/>
  </xdr:oneCellAnchor>
  <xdr:oneCellAnchor>
    <xdr:from>
      <xdr:col>4</xdr:col>
      <xdr:colOff>378722</xdr:colOff>
      <xdr:row>18</xdr:row>
      <xdr:rowOff>21079</xdr:rowOff>
    </xdr:from>
    <xdr:ext cx="2349108" cy="937629"/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54DD685F-27A3-4F3D-87BB-31127C25063F}"/>
            </a:ext>
          </a:extLst>
        </xdr:cNvPr>
        <xdr:cNvSpPr/>
      </xdr:nvSpPr>
      <xdr:spPr>
        <a:xfrm>
          <a:off x="2832620" y="3508198"/>
          <a:ext cx="2349108" cy="93762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-3.1234</a:t>
          </a:r>
        </a:p>
      </xdr:txBody>
    </xdr:sp>
    <xdr:clientData/>
  </xdr:oneCellAnchor>
  <xdr:twoCellAnchor>
    <xdr:from>
      <xdr:col>1</xdr:col>
      <xdr:colOff>151848</xdr:colOff>
      <xdr:row>1</xdr:row>
      <xdr:rowOff>96630</xdr:rowOff>
    </xdr:from>
    <xdr:to>
      <xdr:col>3</xdr:col>
      <xdr:colOff>414130</xdr:colOff>
      <xdr:row>6</xdr:row>
      <xdr:rowOff>0</xdr:rowOff>
    </xdr:to>
    <xdr:sp macro="[0]!Ashok_Leyland" textlink="">
      <xdr:nvSpPr>
        <xdr:cNvPr id="34" name="Rectangle: Rounded Corners 33">
          <a:extLst>
            <a:ext uri="{FF2B5EF4-FFF2-40B4-BE49-F238E27FC236}">
              <a16:creationId xmlns:a16="http://schemas.microsoft.com/office/drawing/2014/main" id="{6E7CF217-D3D5-4A54-98B9-822A3A8DAB5A}"/>
            </a:ext>
          </a:extLst>
        </xdr:cNvPr>
        <xdr:cNvSpPr/>
      </xdr:nvSpPr>
      <xdr:spPr>
        <a:xfrm>
          <a:off x="759239" y="289891"/>
          <a:ext cx="1477065" cy="869674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>
                  <a:lumMod val="65000"/>
                  <a:lumOff val="35000"/>
                </a:schemeClr>
              </a:solidFill>
            </a:rPr>
            <a:t>Ashok Leyland</a:t>
          </a:r>
        </a:p>
      </xdr:txBody>
    </xdr:sp>
    <xdr:clientData/>
  </xdr:twoCellAnchor>
  <xdr:twoCellAnchor>
    <xdr:from>
      <xdr:col>3</xdr:col>
      <xdr:colOff>579783</xdr:colOff>
      <xdr:row>1</xdr:row>
      <xdr:rowOff>96630</xdr:rowOff>
    </xdr:from>
    <xdr:to>
      <xdr:col>6</xdr:col>
      <xdr:colOff>234674</xdr:colOff>
      <xdr:row>6</xdr:row>
      <xdr:rowOff>0</xdr:rowOff>
    </xdr:to>
    <xdr:sp macro="[0]!Bajaj_Auto" textlink="">
      <xdr:nvSpPr>
        <xdr:cNvPr id="35" name="Rectangle: Rounded Corners 34">
          <a:extLst>
            <a:ext uri="{FF2B5EF4-FFF2-40B4-BE49-F238E27FC236}">
              <a16:creationId xmlns:a16="http://schemas.microsoft.com/office/drawing/2014/main" id="{10401B49-A0C1-4842-93D2-2230D1B0DB15}"/>
            </a:ext>
          </a:extLst>
        </xdr:cNvPr>
        <xdr:cNvSpPr/>
      </xdr:nvSpPr>
      <xdr:spPr>
        <a:xfrm>
          <a:off x="2401957" y="289891"/>
          <a:ext cx="1477065" cy="869674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>
                  <a:lumMod val="65000"/>
                  <a:lumOff val="35000"/>
                </a:schemeClr>
              </a:solidFill>
            </a:rPr>
            <a:t>Bajaj Auto</a:t>
          </a:r>
        </a:p>
      </xdr:txBody>
    </xdr:sp>
    <xdr:clientData/>
  </xdr:twoCellAnchor>
  <xdr:twoCellAnchor>
    <xdr:from>
      <xdr:col>6</xdr:col>
      <xdr:colOff>414683</xdr:colOff>
      <xdr:row>1</xdr:row>
      <xdr:rowOff>97182</xdr:rowOff>
    </xdr:from>
    <xdr:to>
      <xdr:col>9</xdr:col>
      <xdr:colOff>69574</xdr:colOff>
      <xdr:row>6</xdr:row>
      <xdr:rowOff>552</xdr:rowOff>
    </xdr:to>
    <xdr:sp macro="[0]!Eicher_Motors" textlink="">
      <xdr:nvSpPr>
        <xdr:cNvPr id="36" name="Rectangle: Rounded Corners 35">
          <a:extLst>
            <a:ext uri="{FF2B5EF4-FFF2-40B4-BE49-F238E27FC236}">
              <a16:creationId xmlns:a16="http://schemas.microsoft.com/office/drawing/2014/main" id="{DACE1AF7-6FE5-4983-A014-4EE0F28EE67B}"/>
            </a:ext>
          </a:extLst>
        </xdr:cNvPr>
        <xdr:cNvSpPr/>
      </xdr:nvSpPr>
      <xdr:spPr>
        <a:xfrm>
          <a:off x="4059031" y="290443"/>
          <a:ext cx="1477065" cy="869674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>
                  <a:lumMod val="65000"/>
                  <a:lumOff val="35000"/>
                </a:schemeClr>
              </a:solidFill>
            </a:rPr>
            <a:t>Eicher Mototrs</a:t>
          </a:r>
        </a:p>
      </xdr:txBody>
    </xdr:sp>
    <xdr:clientData/>
  </xdr:twoCellAnchor>
  <xdr:twoCellAnchor>
    <xdr:from>
      <xdr:col>9</xdr:col>
      <xdr:colOff>221975</xdr:colOff>
      <xdr:row>1</xdr:row>
      <xdr:rowOff>97734</xdr:rowOff>
    </xdr:from>
    <xdr:to>
      <xdr:col>11</xdr:col>
      <xdr:colOff>484258</xdr:colOff>
      <xdr:row>6</xdr:row>
      <xdr:rowOff>1104</xdr:rowOff>
    </xdr:to>
    <xdr:sp macro="[0]!Hero_Motocorp" textlink="">
      <xdr:nvSpPr>
        <xdr:cNvPr id="37" name="Rectangle: Rounded Corners 36">
          <a:extLst>
            <a:ext uri="{FF2B5EF4-FFF2-40B4-BE49-F238E27FC236}">
              <a16:creationId xmlns:a16="http://schemas.microsoft.com/office/drawing/2014/main" id="{D68ED22B-5382-4A31-AE4F-ED82E286758F}"/>
            </a:ext>
          </a:extLst>
        </xdr:cNvPr>
        <xdr:cNvSpPr/>
      </xdr:nvSpPr>
      <xdr:spPr>
        <a:xfrm>
          <a:off x="5688497" y="290995"/>
          <a:ext cx="1477065" cy="869674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>
                  <a:lumMod val="65000"/>
                  <a:lumOff val="35000"/>
                </a:schemeClr>
              </a:solidFill>
            </a:rPr>
            <a:t>Hero Motocorp</a:t>
          </a:r>
        </a:p>
      </xdr:txBody>
    </xdr:sp>
    <xdr:clientData/>
  </xdr:twoCellAnchor>
  <xdr:twoCellAnchor>
    <xdr:from>
      <xdr:col>12</xdr:col>
      <xdr:colOff>29265</xdr:colOff>
      <xdr:row>1</xdr:row>
      <xdr:rowOff>112090</xdr:rowOff>
    </xdr:from>
    <xdr:to>
      <xdr:col>14</xdr:col>
      <xdr:colOff>291548</xdr:colOff>
      <xdr:row>6</xdr:row>
      <xdr:rowOff>15460</xdr:rowOff>
    </xdr:to>
    <xdr:sp macro="[0]!Maruti_Suzuki" textlink="">
      <xdr:nvSpPr>
        <xdr:cNvPr id="38" name="Rectangle: Rounded Corners 37">
          <a:extLst>
            <a:ext uri="{FF2B5EF4-FFF2-40B4-BE49-F238E27FC236}">
              <a16:creationId xmlns:a16="http://schemas.microsoft.com/office/drawing/2014/main" id="{8CBE2AE3-EE4D-4569-9E6A-554F10942AAD}"/>
            </a:ext>
          </a:extLst>
        </xdr:cNvPr>
        <xdr:cNvSpPr/>
      </xdr:nvSpPr>
      <xdr:spPr>
        <a:xfrm>
          <a:off x="7317961" y="305351"/>
          <a:ext cx="1477065" cy="869674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>
                  <a:lumMod val="65000"/>
                  <a:lumOff val="35000"/>
                </a:schemeClr>
              </a:solidFill>
            </a:rPr>
            <a:t>Maruti Suzuki</a:t>
          </a:r>
        </a:p>
      </xdr:txBody>
    </xdr:sp>
    <xdr:clientData/>
  </xdr:twoCellAnchor>
  <xdr:twoCellAnchor>
    <xdr:from>
      <xdr:col>14</xdr:col>
      <xdr:colOff>457753</xdr:colOff>
      <xdr:row>1</xdr:row>
      <xdr:rowOff>98838</xdr:rowOff>
    </xdr:from>
    <xdr:to>
      <xdr:col>17</xdr:col>
      <xdr:colOff>112644</xdr:colOff>
      <xdr:row>6</xdr:row>
      <xdr:rowOff>2208</xdr:rowOff>
    </xdr:to>
    <xdr:sp macro="[0]!Tata_Motors" textlink="">
      <xdr:nvSpPr>
        <xdr:cNvPr id="39" name="Rectangle: Rounded Corners 38">
          <a:extLst>
            <a:ext uri="{FF2B5EF4-FFF2-40B4-BE49-F238E27FC236}">
              <a16:creationId xmlns:a16="http://schemas.microsoft.com/office/drawing/2014/main" id="{CB00CF9E-A1AB-4AC5-A4CB-CDC3DD1FE52A}"/>
            </a:ext>
          </a:extLst>
        </xdr:cNvPr>
        <xdr:cNvSpPr/>
      </xdr:nvSpPr>
      <xdr:spPr>
        <a:xfrm>
          <a:off x="8961231" y="292099"/>
          <a:ext cx="1477065" cy="869674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>
                  <a:lumMod val="65000"/>
                  <a:lumOff val="35000"/>
                </a:schemeClr>
              </a:solidFill>
            </a:rPr>
            <a:t>Tata Motors</a:t>
          </a:r>
        </a:p>
      </xdr:txBody>
    </xdr:sp>
    <xdr:clientData/>
  </xdr:twoCellAnchor>
  <xdr:twoCellAnchor>
    <xdr:from>
      <xdr:col>17</xdr:col>
      <xdr:colOff>262283</xdr:colOff>
      <xdr:row>1</xdr:row>
      <xdr:rowOff>110436</xdr:rowOff>
    </xdr:from>
    <xdr:to>
      <xdr:col>19</xdr:col>
      <xdr:colOff>524565</xdr:colOff>
      <xdr:row>6</xdr:row>
      <xdr:rowOff>13806</xdr:rowOff>
    </xdr:to>
    <xdr:sp macro="[0]!TVS_Motors" textlink="">
      <xdr:nvSpPr>
        <xdr:cNvPr id="40" name="Rectangle: Rounded Corners 39">
          <a:extLst>
            <a:ext uri="{FF2B5EF4-FFF2-40B4-BE49-F238E27FC236}">
              <a16:creationId xmlns:a16="http://schemas.microsoft.com/office/drawing/2014/main" id="{C237EAB3-C4E3-44B6-93E2-97F0116342BA}"/>
            </a:ext>
          </a:extLst>
        </xdr:cNvPr>
        <xdr:cNvSpPr/>
      </xdr:nvSpPr>
      <xdr:spPr>
        <a:xfrm>
          <a:off x="10587935" y="303697"/>
          <a:ext cx="1477065" cy="869674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>
                  <a:lumMod val="65000"/>
                  <a:lumOff val="35000"/>
                </a:schemeClr>
              </a:solidFill>
            </a:rPr>
            <a:t>TVS Motors</a:t>
          </a:r>
        </a:p>
      </xdr:txBody>
    </xdr:sp>
    <xdr:clientData/>
  </xdr:twoCellAnchor>
  <xdr:twoCellAnchor>
    <xdr:from>
      <xdr:col>20</xdr:col>
      <xdr:colOff>69572</xdr:colOff>
      <xdr:row>1</xdr:row>
      <xdr:rowOff>110987</xdr:rowOff>
    </xdr:from>
    <xdr:to>
      <xdr:col>22</xdr:col>
      <xdr:colOff>248477</xdr:colOff>
      <xdr:row>6</xdr:row>
      <xdr:rowOff>14357</xdr:rowOff>
    </xdr:to>
    <xdr:sp macro="[0]!Paytm_Nifty_Auto" textlink="">
      <xdr:nvSpPr>
        <xdr:cNvPr id="41" name="Rectangle: Rounded Corners 40">
          <a:extLst>
            <a:ext uri="{FF2B5EF4-FFF2-40B4-BE49-F238E27FC236}">
              <a16:creationId xmlns:a16="http://schemas.microsoft.com/office/drawing/2014/main" id="{3E337BFA-7242-407F-8113-76B8928BE57E}"/>
            </a:ext>
          </a:extLst>
        </xdr:cNvPr>
        <xdr:cNvSpPr/>
      </xdr:nvSpPr>
      <xdr:spPr>
        <a:xfrm>
          <a:off x="12217398" y="304248"/>
          <a:ext cx="1393688" cy="869674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tx1">
                  <a:lumMod val="65000"/>
                  <a:lumOff val="35000"/>
                </a:schemeClr>
              </a:solidFill>
            </a:rPr>
            <a:t>Paytm</a:t>
          </a:r>
          <a:r>
            <a:rPr lang="en-US" sz="2000" b="1" baseline="0">
              <a:solidFill>
                <a:schemeClr val="tx1">
                  <a:lumMod val="65000"/>
                  <a:lumOff val="35000"/>
                </a:schemeClr>
              </a:solidFill>
            </a:rPr>
            <a:t> Nifty Auto</a:t>
          </a:r>
          <a:endParaRPr lang="en-US" sz="20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 editAs="oneCell">
    <xdr:from>
      <xdr:col>12</xdr:col>
      <xdr:colOff>411557</xdr:colOff>
      <xdr:row>7</xdr:row>
      <xdr:rowOff>18905</xdr:rowOff>
    </xdr:from>
    <xdr:to>
      <xdr:col>21</xdr:col>
      <xdr:colOff>375578</xdr:colOff>
      <xdr:row>23</xdr:row>
      <xdr:rowOff>168545</xdr:rowOff>
    </xdr:to>
    <xdr:pic>
      <xdr:nvPicPr>
        <xdr:cNvPr id="44" name="Picture 43">
          <a:extLst>
            <a:ext uri="{FF2B5EF4-FFF2-40B4-BE49-F238E27FC236}">
              <a16:creationId xmlns:a16="http://schemas.microsoft.com/office/drawing/2014/main" id="{79BBFEDF-6134-4915-85F5-A62BA7AF3E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73252" y="1375007"/>
          <a:ext cx="5485292" cy="32493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59736</xdr:colOff>
      <xdr:row>25</xdr:row>
      <xdr:rowOff>41746</xdr:rowOff>
    </xdr:from>
    <xdr:to>
      <xdr:col>11</xdr:col>
      <xdr:colOff>2310</xdr:colOff>
      <xdr:row>43</xdr:row>
      <xdr:rowOff>125040</xdr:rowOff>
    </xdr:to>
    <xdr:graphicFrame macro="">
      <xdr:nvGraphicFramePr>
        <xdr:cNvPr id="45" name="Chart 44">
          <a:extLst>
            <a:ext uri="{FF2B5EF4-FFF2-40B4-BE49-F238E27FC236}">
              <a16:creationId xmlns:a16="http://schemas.microsoft.com/office/drawing/2014/main" id="{80BE1C65-12C7-4B24-955D-AA29DCA1BC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226017</xdr:colOff>
      <xdr:row>25</xdr:row>
      <xdr:rowOff>96864</xdr:rowOff>
    </xdr:from>
    <xdr:to>
      <xdr:col>22</xdr:col>
      <xdr:colOff>48432</xdr:colOff>
      <xdr:row>41</xdr:row>
      <xdr:rowOff>113008</xdr:rowOff>
    </xdr:to>
    <xdr:sp macro="" textlink="">
      <xdr:nvSpPr>
        <xdr:cNvPr id="46" name="Rectangle: Rounded Corners 45">
          <a:extLst>
            <a:ext uri="{FF2B5EF4-FFF2-40B4-BE49-F238E27FC236}">
              <a16:creationId xmlns:a16="http://schemas.microsoft.com/office/drawing/2014/main" id="{C6D80A9E-D092-4655-85EF-F03CCFF6D9A7}"/>
            </a:ext>
          </a:extLst>
        </xdr:cNvPr>
        <xdr:cNvSpPr/>
      </xdr:nvSpPr>
      <xdr:spPr>
        <a:xfrm>
          <a:off x="7587712" y="4940084"/>
          <a:ext cx="5957161" cy="3115805"/>
        </a:xfrm>
        <a:prstGeom prst="roundRect">
          <a:avLst/>
        </a:prstGeom>
        <a:solidFill>
          <a:sysClr val="window" lastClr="FFFFFF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  <a:p>
          <a:pPr algn="l"/>
          <a:endParaRPr lang="en-US" sz="1100"/>
        </a:p>
        <a:p>
          <a:pPr algn="l"/>
          <a:endParaRPr lang="en-US" sz="1100"/>
        </a:p>
        <a:p>
          <a:pPr algn="l"/>
          <a:endParaRPr lang="en-US" sz="1100"/>
        </a:p>
        <a:p>
          <a:pPr algn="ctr"/>
          <a:r>
            <a:rPr lang="en-US" sz="1800">
              <a:solidFill>
                <a:sysClr val="windowText" lastClr="000000"/>
              </a:solidFill>
            </a:rPr>
            <a:t>MACRO-ECONOMIC</a:t>
          </a:r>
          <a:r>
            <a:rPr lang="en-US" sz="1800" baseline="0">
              <a:solidFill>
                <a:sysClr val="windowText" lastClr="000000"/>
              </a:solidFill>
            </a:rPr>
            <a:t> FACTORS AFFECTING THE INDEX</a:t>
          </a:r>
        </a:p>
        <a:p>
          <a:pPr algn="ctr"/>
          <a:r>
            <a:rPr lang="en-US" sz="1800">
              <a:solidFill>
                <a:sysClr val="windowText" lastClr="000000"/>
              </a:solidFill>
            </a:rPr>
            <a:t>ECONOMIC GROWTH</a:t>
          </a:r>
        </a:p>
        <a:p>
          <a:pPr algn="ctr"/>
          <a:r>
            <a:rPr lang="en-US" sz="1800">
              <a:solidFill>
                <a:sysClr val="windowText" lastClr="000000"/>
              </a:solidFill>
            </a:rPr>
            <a:t>INTEREST RATES</a:t>
          </a:r>
        </a:p>
        <a:p>
          <a:pPr algn="ctr"/>
          <a:r>
            <a:rPr lang="en-US" sz="1800">
              <a:solidFill>
                <a:sysClr val="windowText" lastClr="000000"/>
              </a:solidFill>
            </a:rPr>
            <a:t>INFLATION</a:t>
          </a:r>
        </a:p>
        <a:p>
          <a:pPr algn="ctr"/>
          <a:r>
            <a:rPr lang="en-US" sz="1800">
              <a:solidFill>
                <a:sysClr val="windowText" lastClr="000000"/>
              </a:solidFill>
            </a:rPr>
            <a:t>FUEL</a:t>
          </a:r>
          <a:r>
            <a:rPr lang="en-US" sz="1800" baseline="0">
              <a:solidFill>
                <a:sysClr val="windowText" lastClr="000000"/>
              </a:solidFill>
            </a:rPr>
            <a:t> PRICES</a:t>
          </a:r>
        </a:p>
        <a:p>
          <a:pPr algn="ctr"/>
          <a:r>
            <a:rPr lang="en-US" sz="1800" baseline="0">
              <a:solidFill>
                <a:sysClr val="windowText" lastClr="000000"/>
              </a:solidFill>
            </a:rPr>
            <a:t>EXCHANGE RATES</a:t>
          </a:r>
        </a:p>
        <a:p>
          <a:pPr algn="ctr"/>
          <a:r>
            <a:rPr lang="en-US" sz="1800" baseline="0">
              <a:solidFill>
                <a:sysClr val="windowText" lastClr="000000"/>
              </a:solidFill>
            </a:rPr>
            <a:t>GOVERNMENT POLICIES</a:t>
          </a:r>
          <a:br>
            <a:rPr lang="en-US" sz="1800">
              <a:solidFill>
                <a:sysClr val="windowText" lastClr="000000"/>
              </a:solidFill>
            </a:rPr>
          </a:br>
          <a:endParaRPr lang="en-US" sz="1800">
            <a:solidFill>
              <a:sysClr val="windowText" lastClr="000000"/>
            </a:solidFill>
          </a:endParaRPr>
        </a:p>
        <a:p>
          <a:pPr algn="ctr"/>
          <a:endParaRPr lang="en-US" sz="1600">
            <a:solidFill>
              <a:sysClr val="windowText" lastClr="000000"/>
            </a:solidFill>
          </a:endParaRPr>
        </a:p>
        <a:p>
          <a:pPr algn="ctr"/>
          <a:endParaRPr lang="en-US" sz="16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414553</xdr:colOff>
      <xdr:row>1244</xdr:row>
      <xdr:rowOff>8442</xdr:rowOff>
    </xdr:from>
    <xdr:to>
      <xdr:col>27</xdr:col>
      <xdr:colOff>137462</xdr:colOff>
      <xdr:row>1258</xdr:row>
      <xdr:rowOff>24029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967031</xdr:colOff>
      <xdr:row>9</xdr:row>
      <xdr:rowOff>646</xdr:rowOff>
    </xdr:from>
    <xdr:to>
      <xdr:col>29</xdr:col>
      <xdr:colOff>82336</xdr:colOff>
      <xdr:row>23</xdr:row>
      <xdr:rowOff>31643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2303057-0C22-407C-9F51-8F963DD897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418682</xdr:colOff>
      <xdr:row>9</xdr:row>
      <xdr:rowOff>10467</xdr:rowOff>
    </xdr:from>
    <xdr:to>
      <xdr:col>35</xdr:col>
      <xdr:colOff>203877</xdr:colOff>
      <xdr:row>23</xdr:row>
      <xdr:rowOff>41464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F9E0F2C3-2076-4C8D-BF14-207F9E1A43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36</xdr:col>
      <xdr:colOff>62802</xdr:colOff>
      <xdr:row>9</xdr:row>
      <xdr:rowOff>10467</xdr:rowOff>
    </xdr:from>
    <xdr:to>
      <xdr:col>40</xdr:col>
      <xdr:colOff>884233</xdr:colOff>
      <xdr:row>23</xdr:row>
      <xdr:rowOff>41464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68F12DC7-32CA-425F-ABB6-36D082C59E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43</xdr:col>
      <xdr:colOff>230274</xdr:colOff>
      <xdr:row>8</xdr:row>
      <xdr:rowOff>157006</xdr:rowOff>
    </xdr:from>
    <xdr:to>
      <xdr:col>47</xdr:col>
      <xdr:colOff>810964</xdr:colOff>
      <xdr:row>22</xdr:row>
      <xdr:rowOff>188003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BB0176C6-BD71-4AD0-967F-1F03D31900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49</xdr:col>
      <xdr:colOff>613474</xdr:colOff>
      <xdr:row>8</xdr:row>
      <xdr:rowOff>121081</xdr:rowOff>
    </xdr:from>
    <xdr:to>
      <xdr:col>55</xdr:col>
      <xdr:colOff>31792</xdr:colOff>
      <xdr:row>22</xdr:row>
      <xdr:rowOff>152078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651B6D85-5EFF-4AA0-8824-2727E1045C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56</xdr:col>
      <xdr:colOff>576205</xdr:colOff>
      <xdr:row>8</xdr:row>
      <xdr:rowOff>82316</xdr:rowOff>
    </xdr:from>
    <xdr:to>
      <xdr:col>62</xdr:col>
      <xdr:colOff>53320</xdr:colOff>
      <xdr:row>22</xdr:row>
      <xdr:rowOff>113313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9F396E92-5923-418F-89D8-5891124F6E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561975</xdr:colOff>
      <xdr:row>62</xdr:row>
      <xdr:rowOff>119062</xdr:rowOff>
    </xdr:from>
    <xdr:to>
      <xdr:col>10</xdr:col>
      <xdr:colOff>257175</xdr:colOff>
      <xdr:row>77</xdr:row>
      <xdr:rowOff>4762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866F605-9FAE-401A-93AE-5B03D2D9F0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4F00F-6234-4246-8C47-39B7A80D2A96}">
  <sheetPr codeName="Sheet8"/>
  <dimension ref="A1:X1"/>
  <sheetViews>
    <sheetView showGridLines="0" tabSelected="1" zoomScale="60" zoomScaleNormal="60" workbookViewId="0">
      <selection activeCell="R42" sqref="R42"/>
    </sheetView>
  </sheetViews>
  <sheetFormatPr defaultColWidth="0" defaultRowHeight="15" x14ac:dyDescent="0.25"/>
  <cols>
    <col min="1" max="24" width="9.140625" style="8" customWidth="1"/>
    <col min="25" max="25" width="9.140625" style="8" hidden="1" customWidth="1"/>
    <col min="26" max="16384" width="9.140625" style="8" hidden="1"/>
  </cols>
  <sheetData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BA389D-F72E-48F7-ADEE-C344EC93BEBA}">
  <sheetPr codeName="Sheet9"/>
  <dimension ref="A16:X16"/>
  <sheetViews>
    <sheetView showGridLines="0" zoomScale="60" zoomScaleNormal="60" workbookViewId="0">
      <selection activeCell="W23" sqref="W23"/>
    </sheetView>
  </sheetViews>
  <sheetFormatPr defaultColWidth="0" defaultRowHeight="15" x14ac:dyDescent="0.25"/>
  <cols>
    <col min="1" max="24" width="9.140625" style="8" customWidth="1"/>
    <col min="25" max="25" width="9.140625" style="8" hidden="1" customWidth="1"/>
    <col min="26" max="16383" width="9.140625" style="8" hidden="1"/>
    <col min="16384" max="16384" width="9.140625" style="8" hidden="1" customWidth="1"/>
  </cols>
  <sheetData>
    <row r="16" spans="13:13" x14ac:dyDescent="0.25">
      <c r="M16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75DB4-E373-450D-9AC3-453D8DB3F7FD}">
  <sheetPr codeName="Sheet10"/>
  <dimension ref="A1:X1"/>
  <sheetViews>
    <sheetView showGridLines="0" zoomScale="60" zoomScaleNormal="60" workbookViewId="0">
      <selection activeCell="W24" sqref="W24"/>
    </sheetView>
  </sheetViews>
  <sheetFormatPr defaultColWidth="0" defaultRowHeight="15" x14ac:dyDescent="0.25"/>
  <cols>
    <col min="1" max="24" width="9.140625" style="8" customWidth="1"/>
    <col min="25" max="25" width="9.140625" style="8" hidden="1" customWidth="1"/>
    <col min="26" max="16384" width="9.140625" style="8" hidden="1"/>
  </cols>
  <sheetData/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B1706-3445-4DAD-B845-07C870BFD5F4}">
  <sheetPr codeName="Sheet11"/>
  <dimension ref="A1:XFC1"/>
  <sheetViews>
    <sheetView showGridLines="0" zoomScale="60" zoomScaleNormal="60" workbookViewId="0">
      <selection activeCell="H33" sqref="H33"/>
    </sheetView>
  </sheetViews>
  <sheetFormatPr defaultColWidth="0" defaultRowHeight="15" x14ac:dyDescent="0.25"/>
  <cols>
    <col min="1" max="24" width="9.140625" style="8" customWidth="1"/>
    <col min="25" max="25" width="9.140625" style="8" hidden="1" customWidth="1"/>
    <col min="26" max="16383" width="9.140625" style="8" hidden="1"/>
    <col min="16384" max="16384" width="41.85546875" style="8" hidden="1" customWidth="1"/>
  </cols>
  <sheetData/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B908C-49E2-4DE7-9144-1B6908516D48}">
  <sheetPr codeName="Sheet12"/>
  <dimension ref="A55:XFC55"/>
  <sheetViews>
    <sheetView showGridLines="0" topLeftCell="A2" zoomScale="67" zoomScaleNormal="100" workbookViewId="0">
      <selection activeCell="C10" sqref="C10"/>
    </sheetView>
  </sheetViews>
  <sheetFormatPr defaultColWidth="9.140625" defaultRowHeight="15" x14ac:dyDescent="0.25"/>
  <cols>
    <col min="1" max="23" width="9.140625" style="8" customWidth="1"/>
    <col min="24" max="24" width="8.28515625" style="8" customWidth="1"/>
    <col min="25" max="25" width="9.140625" style="8" hidden="1" customWidth="1"/>
    <col min="26" max="16383" width="0" style="8" hidden="1" customWidth="1"/>
    <col min="16384" max="16384" width="37.28515625" style="8" hidden="1" customWidth="1"/>
  </cols>
  <sheetData>
    <row r="55" spans="6:6" x14ac:dyDescent="0.25">
      <c r="F55"/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D1D459-D5BE-4612-A145-5DB135E860C5}">
  <sheetPr codeName="Sheet13"/>
  <dimension ref="K12:XFC12"/>
  <sheetViews>
    <sheetView showGridLines="0" topLeftCell="A2" zoomScale="67" zoomScaleNormal="70" workbookViewId="0">
      <selection activeCell="O10" sqref="O10"/>
    </sheetView>
  </sheetViews>
  <sheetFormatPr defaultColWidth="0" defaultRowHeight="15" x14ac:dyDescent="0.25"/>
  <cols>
    <col min="1" max="24" width="9.140625" style="8" customWidth="1"/>
    <col min="25" max="25" width="9.140625" style="8" hidden="1" customWidth="1"/>
    <col min="26" max="16383" width="9.140625" style="8" hidden="1"/>
    <col min="16384" max="16384" width="15.7109375" style="8" customWidth="1"/>
  </cols>
  <sheetData>
    <row r="12" spans="11:11" x14ac:dyDescent="0.25">
      <c r="K12"/>
    </row>
  </sheetData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1E8E89-9BB8-4C6F-ACF4-26ABD160AFCD}">
  <sheetPr codeName="Sheet14"/>
  <dimension ref="A13:XFC13"/>
  <sheetViews>
    <sheetView showGridLines="0" topLeftCell="A2" zoomScale="67" zoomScaleNormal="100" workbookViewId="0">
      <selection activeCell="O13" sqref="O13"/>
    </sheetView>
  </sheetViews>
  <sheetFormatPr defaultColWidth="0" defaultRowHeight="15" x14ac:dyDescent="0.25"/>
  <cols>
    <col min="1" max="24" width="9.140625" style="8" customWidth="1"/>
    <col min="25" max="25" width="9.140625" style="8" hidden="1" customWidth="1"/>
    <col min="26" max="16383" width="9.140625" style="8" hidden="1"/>
    <col min="16384" max="16384" width="15.7109375" style="8" hidden="1" customWidth="1"/>
  </cols>
  <sheetData>
    <row r="13" spans="14:14" x14ac:dyDescent="0.25">
      <c r="N13"/>
    </row>
  </sheetData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17A0E-BCA5-48BF-843C-76B8AC68F28A}">
  <sheetPr codeName="Sheet15"/>
  <dimension ref="A1:XFC1"/>
  <sheetViews>
    <sheetView showGridLines="0" topLeftCell="A23" zoomScale="81" zoomScaleNormal="100" workbookViewId="0">
      <selection activeCell="W12" sqref="W12"/>
    </sheetView>
  </sheetViews>
  <sheetFormatPr defaultColWidth="9.140625" defaultRowHeight="15" x14ac:dyDescent="0.25"/>
  <cols>
    <col min="1" max="23" width="9.140625" style="8" customWidth="1"/>
    <col min="24" max="24" width="9" style="8" customWidth="1"/>
    <col min="25" max="25" width="9.140625" style="8" hidden="1" customWidth="1"/>
    <col min="26" max="16383" width="0" style="8" hidden="1" customWidth="1"/>
    <col min="16384" max="16384" width="14.7109375" style="8" hidden="1" customWidth="1"/>
  </cols>
  <sheetData/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287381-2ED5-438B-B99E-569AE39FCF63}">
  <dimension ref="A1:BJ1266"/>
  <sheetViews>
    <sheetView topLeftCell="A2" zoomScale="81" zoomScaleNormal="91" workbookViewId="0">
      <selection activeCell="H2" sqref="H2"/>
    </sheetView>
  </sheetViews>
  <sheetFormatPr defaultRowHeight="15" x14ac:dyDescent="0.25"/>
  <cols>
    <col min="1" max="1" width="20.42578125" customWidth="1"/>
    <col min="2" max="2" width="15.5703125" bestFit="1" customWidth="1"/>
    <col min="4" max="4" width="10.42578125" bestFit="1" customWidth="1"/>
    <col min="15" max="15" width="9.140625" style="48"/>
    <col min="18" max="19" width="11.85546875" customWidth="1"/>
    <col min="20" max="20" width="8.140625" customWidth="1"/>
    <col min="21" max="21" width="15.7109375" bestFit="1" customWidth="1"/>
    <col min="22" max="22" width="14.7109375" bestFit="1" customWidth="1"/>
    <col min="24" max="25" width="12.28515625" customWidth="1"/>
    <col min="26" max="26" width="11.7109375" customWidth="1"/>
    <col min="27" max="27" width="12.42578125" customWidth="1"/>
    <col min="30" max="30" width="10.5703125" customWidth="1"/>
    <col min="31" max="31" width="13.7109375" customWidth="1"/>
    <col min="32" max="33" width="12.85546875" customWidth="1"/>
    <col min="34" max="34" width="12.5703125" customWidth="1"/>
    <col min="36" max="37" width="14" customWidth="1"/>
    <col min="38" max="38" width="14.140625" customWidth="1"/>
    <col min="39" max="40" width="14" customWidth="1"/>
    <col min="43" max="47" width="14.85546875" customWidth="1"/>
    <col min="50" max="54" width="13.5703125" customWidth="1"/>
    <col min="57" max="61" width="13.42578125" customWidth="1"/>
  </cols>
  <sheetData>
    <row r="1" spans="1:62" ht="15.75" thickBot="1" x14ac:dyDescent="0.3">
      <c r="A1" s="3" t="s">
        <v>0</v>
      </c>
      <c r="B1" s="3" t="s">
        <v>31</v>
      </c>
      <c r="H1" t="s">
        <v>107</v>
      </c>
      <c r="J1" t="s">
        <v>108</v>
      </c>
      <c r="L1" t="s">
        <v>109</v>
      </c>
      <c r="N1" t="s">
        <v>110</v>
      </c>
      <c r="P1" t="s">
        <v>111</v>
      </c>
    </row>
    <row r="2" spans="1:62" ht="15.75" thickBot="1" x14ac:dyDescent="0.3">
      <c r="A2" s="2" t="s">
        <v>1</v>
      </c>
      <c r="B2">
        <v>173.9494173598541</v>
      </c>
      <c r="D2" s="2" t="s">
        <v>4</v>
      </c>
      <c r="E2">
        <v>8448.683167510575</v>
      </c>
      <c r="H2">
        <v>3952.6325794043651</v>
      </c>
      <c r="J2" s="47">
        <v>4501.5010195434279</v>
      </c>
      <c r="L2" s="47">
        <v>11465.916239969139</v>
      </c>
      <c r="N2" s="48">
        <v>936.02445553159146</v>
      </c>
      <c r="P2" s="49">
        <v>2161.4938538850051</v>
      </c>
      <c r="S2" s="39" t="s">
        <v>95</v>
      </c>
      <c r="T2" s="40"/>
      <c r="U2" s="40"/>
      <c r="V2" s="40"/>
      <c r="W2" s="46"/>
      <c r="Y2" s="28" t="s">
        <v>103</v>
      </c>
      <c r="Z2" s="29"/>
      <c r="AA2" s="29"/>
      <c r="AB2" s="29"/>
      <c r="AC2" s="30"/>
      <c r="AE2" s="28" t="s">
        <v>103</v>
      </c>
      <c r="AF2" s="29"/>
      <c r="AG2" s="29"/>
      <c r="AH2" s="29"/>
      <c r="AI2" s="30"/>
      <c r="AK2" s="28" t="s">
        <v>103</v>
      </c>
      <c r="AL2" s="29"/>
      <c r="AM2" s="29"/>
      <c r="AN2" s="29"/>
      <c r="AO2" s="30"/>
      <c r="AR2" s="28" t="s">
        <v>103</v>
      </c>
      <c r="AS2" s="29"/>
      <c r="AT2" s="29"/>
      <c r="AU2" s="29"/>
      <c r="AV2" s="30"/>
      <c r="AY2" s="28" t="s">
        <v>103</v>
      </c>
      <c r="AZ2" s="29"/>
      <c r="BA2" s="29"/>
      <c r="BB2" s="29"/>
      <c r="BC2" s="30"/>
      <c r="BF2" s="28" t="s">
        <v>103</v>
      </c>
      <c r="BG2" s="29"/>
      <c r="BH2" s="29"/>
      <c r="BI2" s="29"/>
      <c r="BJ2" s="30"/>
    </row>
    <row r="3" spans="1:62" ht="15.75" thickBot="1" x14ac:dyDescent="0.3">
      <c r="A3" s="2" t="s">
        <v>2</v>
      </c>
      <c r="B3">
        <v>174.00657416068779</v>
      </c>
      <c r="D3" s="2" t="s">
        <v>5</v>
      </c>
      <c r="E3">
        <v>8446.6368294656295</v>
      </c>
      <c r="H3">
        <v>3951.5212128547391</v>
      </c>
      <c r="J3" s="47">
        <v>4506.447924031113</v>
      </c>
      <c r="L3" s="47">
        <v>11460.61725594961</v>
      </c>
      <c r="N3" s="48">
        <v>936.48513309838722</v>
      </c>
      <c r="P3" s="49">
        <v>2162.6635487474291</v>
      </c>
      <c r="S3" s="39" t="s">
        <v>88</v>
      </c>
      <c r="T3" s="40"/>
      <c r="U3" s="41"/>
      <c r="V3" s="6" t="s">
        <v>92</v>
      </c>
      <c r="W3" s="7" t="s">
        <v>94</v>
      </c>
      <c r="Y3" s="31" t="s">
        <v>97</v>
      </c>
      <c r="Z3" s="32"/>
      <c r="AA3" s="28" t="s">
        <v>92</v>
      </c>
      <c r="AB3" s="30"/>
      <c r="AC3" s="32" t="s">
        <v>102</v>
      </c>
      <c r="AE3" s="31" t="s">
        <v>97</v>
      </c>
      <c r="AF3" s="32"/>
      <c r="AG3" s="28" t="s">
        <v>92</v>
      </c>
      <c r="AH3" s="30"/>
      <c r="AI3" s="32" t="s">
        <v>102</v>
      </c>
      <c r="AK3" s="31" t="s">
        <v>97</v>
      </c>
      <c r="AL3" s="32"/>
      <c r="AM3" s="28" t="s">
        <v>92</v>
      </c>
      <c r="AN3" s="30"/>
      <c r="AO3" s="32" t="s">
        <v>102</v>
      </c>
      <c r="AR3" s="31" t="s">
        <v>97</v>
      </c>
      <c r="AS3" s="32"/>
      <c r="AT3" s="28" t="s">
        <v>92</v>
      </c>
      <c r="AU3" s="30"/>
      <c r="AV3" s="32" t="s">
        <v>102</v>
      </c>
      <c r="AY3" s="31" t="s">
        <v>97</v>
      </c>
      <c r="AZ3" s="32"/>
      <c r="BA3" s="28" t="s">
        <v>92</v>
      </c>
      <c r="BB3" s="30"/>
      <c r="BC3" s="32" t="s">
        <v>102</v>
      </c>
      <c r="BF3" s="31" t="s">
        <v>97</v>
      </c>
      <c r="BG3" s="32"/>
      <c r="BH3" s="28" t="s">
        <v>92</v>
      </c>
      <c r="BI3" s="30"/>
      <c r="BJ3" s="32" t="s">
        <v>102</v>
      </c>
    </row>
    <row r="4" spans="1:62" ht="15.75" thickBot="1" x14ac:dyDescent="0.3">
      <c r="A4" s="2" t="s">
        <v>3</v>
      </c>
      <c r="B4">
        <v>173.84041243965549</v>
      </c>
      <c r="D4" s="2" t="s">
        <v>6</v>
      </c>
      <c r="E4">
        <v>8451.4921205964292</v>
      </c>
      <c r="H4">
        <v>3953.5698313860571</v>
      </c>
      <c r="J4" s="47">
        <v>4505.7884636311164</v>
      </c>
      <c r="L4" s="47">
        <v>11456.151217978249</v>
      </c>
      <c r="N4" s="48">
        <v>937.00716114259592</v>
      </c>
      <c r="P4" s="49">
        <v>2162.3102295673739</v>
      </c>
      <c r="S4" s="42" t="s">
        <v>93</v>
      </c>
      <c r="T4" s="43"/>
      <c r="U4" s="43"/>
      <c r="V4" s="9">
        <v>26378.09</v>
      </c>
      <c r="W4" s="10">
        <f>V4/$V$4</f>
        <v>1</v>
      </c>
      <c r="Y4" s="33"/>
      <c r="Z4" s="34"/>
      <c r="AA4" s="6">
        <v>2022</v>
      </c>
      <c r="AB4" s="15">
        <v>2023</v>
      </c>
      <c r="AC4" s="35"/>
      <c r="AE4" s="33"/>
      <c r="AF4" s="34"/>
      <c r="AG4" s="6">
        <v>2022</v>
      </c>
      <c r="AH4" s="15">
        <v>2023</v>
      </c>
      <c r="AI4" s="35"/>
      <c r="AK4" s="33"/>
      <c r="AL4" s="34"/>
      <c r="AM4" s="6">
        <v>2022</v>
      </c>
      <c r="AN4" s="15">
        <v>2023</v>
      </c>
      <c r="AO4" s="35"/>
      <c r="AR4" s="33"/>
      <c r="AS4" s="34"/>
      <c r="AT4" s="6">
        <v>2022</v>
      </c>
      <c r="AU4" s="15">
        <v>2023</v>
      </c>
      <c r="AV4" s="35"/>
      <c r="AY4" s="33"/>
      <c r="AZ4" s="34"/>
      <c r="BA4" s="6">
        <v>2022</v>
      </c>
      <c r="BB4" s="15">
        <v>2023</v>
      </c>
      <c r="BC4" s="35"/>
      <c r="BF4" s="33"/>
      <c r="BG4" s="34"/>
      <c r="BH4" s="6">
        <v>2022</v>
      </c>
      <c r="BI4" s="15">
        <v>2023</v>
      </c>
      <c r="BJ4" s="35"/>
    </row>
    <row r="5" spans="1:62" ht="15.75" thickBot="1" x14ac:dyDescent="0.3">
      <c r="A5" s="2" t="s">
        <v>4</v>
      </c>
      <c r="B5">
        <v>173.8637982276606</v>
      </c>
      <c r="D5" s="2" t="s">
        <v>7</v>
      </c>
      <c r="E5">
        <v>8450.3939300562815</v>
      </c>
      <c r="H5">
        <v>3952.95386070514</v>
      </c>
      <c r="J5" s="47">
        <v>4505.9762515038674</v>
      </c>
      <c r="L5" s="47">
        <v>11461.7925817998</v>
      </c>
      <c r="N5" s="48">
        <v>937.11080404856182</v>
      </c>
      <c r="P5" s="49">
        <v>2161.6182813464479</v>
      </c>
      <c r="S5" s="24" t="s">
        <v>89</v>
      </c>
      <c r="T5" s="44"/>
      <c r="U5" s="44"/>
      <c r="V5" s="11">
        <v>24475.29</v>
      </c>
      <c r="W5" s="12">
        <f t="shared" ref="W5:W7" si="0">V5/$V$4</f>
        <v>0.92786437532057864</v>
      </c>
      <c r="Y5" s="36" t="s">
        <v>98</v>
      </c>
      <c r="Z5" s="37"/>
      <c r="AA5" s="16">
        <v>26668.799999999999</v>
      </c>
      <c r="AB5" s="17">
        <v>25425.86</v>
      </c>
      <c r="AC5" s="18">
        <f>(AB5-AA5)/AA5</f>
        <v>-4.660652147828169E-2</v>
      </c>
      <c r="AE5" s="36" t="s">
        <v>98</v>
      </c>
      <c r="AF5" s="37"/>
      <c r="AG5" s="16">
        <v>10794.57</v>
      </c>
      <c r="AH5" s="17">
        <v>12886.9</v>
      </c>
      <c r="AI5" s="18">
        <f>(AH5-AG5)/AG5</f>
        <v>0.19383171353745449</v>
      </c>
      <c r="AK5" s="36" t="s">
        <v>98</v>
      </c>
      <c r="AL5" s="37"/>
      <c r="AM5" s="16">
        <v>15782.92</v>
      </c>
      <c r="AN5" s="17">
        <v>16705.09</v>
      </c>
      <c r="AO5" s="18">
        <f>(AN5-AM5)/AM5</f>
        <v>5.8428351661162829E-2</v>
      </c>
      <c r="AR5" s="36" t="s">
        <v>98</v>
      </c>
      <c r="AS5" s="37"/>
      <c r="AT5" s="16">
        <v>54086</v>
      </c>
      <c r="AU5" s="17">
        <v>60382</v>
      </c>
      <c r="AV5" s="18">
        <f>(AU5-AT5)/AT5</f>
        <v>0.11640720334282439</v>
      </c>
      <c r="AY5" s="36" t="s">
        <v>98</v>
      </c>
      <c r="AZ5" s="37"/>
      <c r="BA5" s="16">
        <v>19937.759999999998</v>
      </c>
      <c r="BB5" s="17">
        <v>22467.39</v>
      </c>
      <c r="BC5" s="18">
        <f>(BB5-BA5)/BA5</f>
        <v>0.12687633916748928</v>
      </c>
      <c r="BF5" s="36" t="s">
        <v>98</v>
      </c>
      <c r="BG5" s="37"/>
      <c r="BH5" s="16">
        <v>4822.04</v>
      </c>
      <c r="BI5" s="17">
        <v>6047.85</v>
      </c>
      <c r="BJ5" s="18">
        <f>(BI5-BH5)/BH5</f>
        <v>0.2542098365007342</v>
      </c>
    </row>
    <row r="6" spans="1:62" ht="15.75" thickBot="1" x14ac:dyDescent="0.3">
      <c r="A6" s="2" t="s">
        <v>5</v>
      </c>
      <c r="B6">
        <v>173.9057098899161</v>
      </c>
      <c r="D6" s="2" t="s">
        <v>8</v>
      </c>
      <c r="E6">
        <v>8450.5289273344497</v>
      </c>
      <c r="H6">
        <v>3953.3249387216529</v>
      </c>
      <c r="J6" s="47">
        <v>4506.3375031469986</v>
      </c>
      <c r="L6" s="47">
        <v>11464.292120825739</v>
      </c>
      <c r="N6" s="48">
        <v>937.02947671988545</v>
      </c>
      <c r="P6" s="49">
        <v>2161.4603651609882</v>
      </c>
      <c r="S6" s="24" t="s">
        <v>90</v>
      </c>
      <c r="T6" s="44"/>
      <c r="U6" s="44"/>
      <c r="V6" s="11">
        <v>512.34</v>
      </c>
      <c r="W6" s="12">
        <f t="shared" si="0"/>
        <v>1.9422937748714938E-2</v>
      </c>
      <c r="Y6" s="24" t="s">
        <v>101</v>
      </c>
      <c r="Z6" s="25"/>
      <c r="AA6" s="19">
        <v>563.70000000000005</v>
      </c>
      <c r="AB6" s="20">
        <v>503.79</v>
      </c>
      <c r="AC6" s="18">
        <f t="shared" ref="AC6:AC8" si="1">(AB6-AA6)/AA6</f>
        <v>-0.10627993613624272</v>
      </c>
      <c r="AE6" s="24" t="s">
        <v>101</v>
      </c>
      <c r="AF6" s="25"/>
      <c r="AG6" s="19">
        <v>611.11</v>
      </c>
      <c r="AH6" s="20">
        <v>943.53</v>
      </c>
      <c r="AI6" s="18">
        <f t="shared" ref="AI6:AI8" si="2">(AH6-AG6)/AG6</f>
        <v>0.54396098901997991</v>
      </c>
      <c r="AK6" s="24" t="s">
        <v>101</v>
      </c>
      <c r="AL6" s="25"/>
      <c r="AM6" s="19">
        <v>858.72</v>
      </c>
      <c r="AN6" s="20">
        <v>934.07</v>
      </c>
      <c r="AO6" s="18">
        <f t="shared" ref="AO6:AO8" si="3">(AN6-AM6)/AM6</f>
        <v>8.7746879075833825E-2</v>
      </c>
      <c r="AR6" s="24" t="s">
        <v>101</v>
      </c>
      <c r="AS6" s="25"/>
      <c r="AT6" s="19">
        <v>2294.6</v>
      </c>
      <c r="AU6" s="20">
        <v>2697.4</v>
      </c>
      <c r="AV6" s="18">
        <f t="shared" ref="AV6:AV8" si="4">(AU6-AT6)/AT6</f>
        <v>0.17554257822714206</v>
      </c>
      <c r="AY6" s="24" t="s">
        <v>101</v>
      </c>
      <c r="AZ6" s="25"/>
      <c r="BA6" s="19">
        <v>16962.91</v>
      </c>
      <c r="BB6" s="20">
        <v>13497.39</v>
      </c>
      <c r="BC6" s="18">
        <f t="shared" ref="BC6:BC8" si="5">(BB6-BA6)/BA6</f>
        <v>-0.20429985185324925</v>
      </c>
      <c r="BF6" s="24" t="s">
        <v>101</v>
      </c>
      <c r="BG6" s="25"/>
      <c r="BH6" s="19">
        <v>1839.19</v>
      </c>
      <c r="BI6" s="20">
        <v>1936</v>
      </c>
      <c r="BJ6" s="18">
        <f t="shared" ref="BJ6:BJ8" si="6">(BI6-BH6)/BH6</f>
        <v>5.2637302290682281E-2</v>
      </c>
    </row>
    <row r="7" spans="1:62" ht="15.75" thickBot="1" x14ac:dyDescent="0.3">
      <c r="A7" s="2" t="s">
        <v>6</v>
      </c>
      <c r="B7">
        <v>173.90634822696151</v>
      </c>
      <c r="D7" s="2" t="s">
        <v>9</v>
      </c>
      <c r="E7">
        <v>8450.6225236706541</v>
      </c>
      <c r="H7">
        <v>3953.3451293511571</v>
      </c>
      <c r="J7" s="47">
        <v>4506.0715638218553</v>
      </c>
      <c r="L7" s="47">
        <v>11464.523654931279</v>
      </c>
      <c r="N7" s="48">
        <v>937.02559406753062</v>
      </c>
      <c r="P7" s="49">
        <v>2161.423324666308</v>
      </c>
      <c r="S7" s="26" t="s">
        <v>91</v>
      </c>
      <c r="T7" s="45"/>
      <c r="U7" s="45"/>
      <c r="V7" s="13">
        <v>1491.03</v>
      </c>
      <c r="W7" s="14">
        <f t="shared" si="0"/>
        <v>5.6525320824972546E-2</v>
      </c>
      <c r="Y7" s="24" t="s">
        <v>99</v>
      </c>
      <c r="Z7" s="25"/>
      <c r="AA7" s="19">
        <v>1910.84</v>
      </c>
      <c r="AB7" s="20">
        <v>2797.92</v>
      </c>
      <c r="AC7" s="18">
        <f t="shared" si="1"/>
        <v>0.46423562412342229</v>
      </c>
      <c r="AE7" s="24" t="s">
        <v>99</v>
      </c>
      <c r="AF7" s="25"/>
      <c r="AG7" s="19">
        <v>2904.81</v>
      </c>
      <c r="AH7" s="20">
        <v>3068.76</v>
      </c>
      <c r="AI7" s="18">
        <f t="shared" si="2"/>
        <v>5.644086876594348E-2</v>
      </c>
      <c r="AK7" s="24" t="s">
        <v>99</v>
      </c>
      <c r="AL7" s="25"/>
      <c r="AM7" s="19">
        <v>6264.68</v>
      </c>
      <c r="AN7" s="20">
        <v>6225.21</v>
      </c>
      <c r="AO7" s="18">
        <f t="shared" si="3"/>
        <v>-6.3004016166827758E-3</v>
      </c>
      <c r="AR7" s="24" t="s">
        <v>99</v>
      </c>
      <c r="AS7" s="25"/>
      <c r="AT7" s="19">
        <v>16646.7</v>
      </c>
      <c r="AU7" s="20">
        <v>20701.900000000001</v>
      </c>
      <c r="AV7" s="18">
        <f t="shared" si="4"/>
        <v>0.24360383739720187</v>
      </c>
      <c r="AY7" s="24" t="s">
        <v>99</v>
      </c>
      <c r="AZ7" s="25"/>
      <c r="BA7" s="19">
        <v>15543</v>
      </c>
      <c r="BB7" s="20">
        <v>15627.27</v>
      </c>
      <c r="BC7" s="18">
        <f t="shared" si="5"/>
        <v>5.4217332561281887E-3</v>
      </c>
      <c r="BF7" s="24" t="s">
        <v>99</v>
      </c>
      <c r="BG7" s="25"/>
      <c r="BH7" s="19">
        <v>3731.1</v>
      </c>
      <c r="BI7" s="20">
        <v>4223.62</v>
      </c>
      <c r="BJ7" s="18">
        <f t="shared" si="6"/>
        <v>0.13200396665862615</v>
      </c>
    </row>
    <row r="8" spans="1:62" ht="15.75" thickBot="1" x14ac:dyDescent="0.3">
      <c r="A8" s="2" t="s">
        <v>7</v>
      </c>
      <c r="B8">
        <v>173.91532702860661</v>
      </c>
      <c r="D8" s="2" t="s">
        <v>10</v>
      </c>
      <c r="E8">
        <v>8450.5695044608128</v>
      </c>
      <c r="H8">
        <v>3953.3059542058058</v>
      </c>
      <c r="J8" s="47">
        <v>4505.9912104862606</v>
      </c>
      <c r="L8" s="47">
        <v>11464.832083077759</v>
      </c>
      <c r="N8" s="48">
        <v>937.06182124890995</v>
      </c>
      <c r="P8" s="49">
        <v>2161.426780122486</v>
      </c>
      <c r="S8" s="38"/>
      <c r="T8" s="38"/>
      <c r="U8" s="38"/>
      <c r="V8" s="5"/>
      <c r="Y8" s="26" t="s">
        <v>100</v>
      </c>
      <c r="Z8" s="27"/>
      <c r="AA8" s="21">
        <v>588.34</v>
      </c>
      <c r="AB8" s="22">
        <v>285.75</v>
      </c>
      <c r="AC8" s="23">
        <f t="shared" si="1"/>
        <v>-0.51431145256144406</v>
      </c>
      <c r="AE8" s="26" t="s">
        <v>100</v>
      </c>
      <c r="AF8" s="27"/>
      <c r="AG8" s="21">
        <v>26.62</v>
      </c>
      <c r="AH8" s="22">
        <v>795.89</v>
      </c>
      <c r="AI8" s="23">
        <f t="shared" si="2"/>
        <v>28.898196844477834</v>
      </c>
      <c r="AK8" s="26" t="s">
        <v>100</v>
      </c>
      <c r="AL8" s="27"/>
      <c r="AM8" s="21">
        <v>175.12</v>
      </c>
      <c r="AN8" s="22">
        <v>345.5</v>
      </c>
      <c r="AO8" s="23">
        <f t="shared" si="3"/>
        <v>0.97293284604842389</v>
      </c>
      <c r="AR8" s="26" t="s">
        <v>100</v>
      </c>
      <c r="AS8" s="27"/>
      <c r="AT8" s="21">
        <v>3036.2</v>
      </c>
      <c r="AU8" s="22">
        <v>37.700000000000003</v>
      </c>
      <c r="AV8" s="23">
        <f t="shared" si="4"/>
        <v>-0.98758316316448203</v>
      </c>
      <c r="AY8" s="26" t="s">
        <v>100</v>
      </c>
      <c r="AZ8" s="27"/>
      <c r="BA8" s="21">
        <v>2605.4299999999998</v>
      </c>
      <c r="BB8" s="22">
        <v>1414.65</v>
      </c>
      <c r="BC8" s="23">
        <f t="shared" si="5"/>
        <v>-0.45703780182158027</v>
      </c>
      <c r="BF8" s="26" t="s">
        <v>100</v>
      </c>
      <c r="BG8" s="27"/>
      <c r="BH8" s="21">
        <v>401.29</v>
      </c>
      <c r="BI8" s="22">
        <v>241.96</v>
      </c>
      <c r="BJ8" s="23">
        <f t="shared" si="6"/>
        <v>-0.39704453138627926</v>
      </c>
    </row>
    <row r="9" spans="1:62" x14ac:dyDescent="0.25">
      <c r="A9" s="2" t="s">
        <v>8</v>
      </c>
      <c r="B9">
        <v>173.90664124492989</v>
      </c>
      <c r="D9" s="2" t="s">
        <v>11</v>
      </c>
      <c r="E9">
        <v>8450.6565415379464</v>
      </c>
      <c r="H9">
        <v>3953.3438194433588</v>
      </c>
      <c r="J9" s="47">
        <v>4506.0139198147835</v>
      </c>
      <c r="L9" s="47">
        <v>11464.883866248891</v>
      </c>
      <c r="N9" s="48">
        <v>937.08092888908391</v>
      </c>
      <c r="P9" s="49">
        <v>2161.439810978708</v>
      </c>
      <c r="S9" s="38" t="s">
        <v>96</v>
      </c>
      <c r="T9" s="38"/>
      <c r="U9" s="38"/>
      <c r="V9" s="38"/>
      <c r="W9" s="38"/>
    </row>
    <row r="10" spans="1:62" x14ac:dyDescent="0.25">
      <c r="A10" s="2" t="s">
        <v>9</v>
      </c>
      <c r="B10">
        <v>173.90556567816591</v>
      </c>
      <c r="D10" s="2" t="s">
        <v>12</v>
      </c>
      <c r="E10">
        <v>8450.6382894826384</v>
      </c>
      <c r="H10">
        <v>3953.331295551438</v>
      </c>
      <c r="J10" s="47">
        <v>4505.9978926088588</v>
      </c>
      <c r="L10" s="47">
        <v>11464.635597353819</v>
      </c>
      <c r="N10" s="48">
        <v>937.07784726162595</v>
      </c>
      <c r="P10" s="49">
        <v>2161.445104899371</v>
      </c>
    </row>
    <row r="11" spans="1:62" x14ac:dyDescent="0.25">
      <c r="A11" s="2" t="s">
        <v>10</v>
      </c>
      <c r="B11">
        <v>173.90698807148561</v>
      </c>
      <c r="D11" s="2" t="s">
        <v>13</v>
      </c>
      <c r="E11">
        <v>8450.639364178287</v>
      </c>
      <c r="H11">
        <v>3953.336216109959</v>
      </c>
      <c r="J11" s="47">
        <v>4505.9972232743667</v>
      </c>
      <c r="L11" s="47">
        <v>11464.539039807991</v>
      </c>
      <c r="N11" s="48">
        <v>937.07511957963334</v>
      </c>
      <c r="P11" s="49">
        <v>2161.4466206551319</v>
      </c>
    </row>
    <row r="12" spans="1:62" x14ac:dyDescent="0.25">
      <c r="A12" s="2" t="s">
        <v>11</v>
      </c>
      <c r="B12">
        <v>173.90687777721271</v>
      </c>
      <c r="D12" s="2" t="s">
        <v>14</v>
      </c>
      <c r="E12">
        <v>8450.6424715196226</v>
      </c>
      <c r="H12">
        <v>3953.337133534726</v>
      </c>
      <c r="J12" s="47">
        <v>4506.0054869025889</v>
      </c>
      <c r="L12" s="47">
        <v>11464.52089498581</v>
      </c>
      <c r="N12" s="48">
        <v>937.07657723228181</v>
      </c>
      <c r="P12" s="49">
        <v>2161.4467319904511</v>
      </c>
    </row>
    <row r="13" spans="1:62" x14ac:dyDescent="0.25">
      <c r="A13" s="2" t="s">
        <v>12</v>
      </c>
      <c r="B13">
        <v>173.90764777827511</v>
      </c>
      <c r="D13" s="2" t="s">
        <v>15</v>
      </c>
      <c r="E13">
        <v>8450.6412526275708</v>
      </c>
      <c r="H13">
        <v>3953.3361298856698</v>
      </c>
      <c r="J13" s="47">
        <v>4506.0059985710932</v>
      </c>
      <c r="L13" s="47">
        <v>11464.5076019322</v>
      </c>
      <c r="N13" s="48">
        <v>937.07855349249735</v>
      </c>
      <c r="P13" s="49">
        <v>2161.4465021612768</v>
      </c>
    </row>
    <row r="14" spans="1:62" x14ac:dyDescent="0.25">
      <c r="A14" s="2" t="s">
        <v>13</v>
      </c>
      <c r="B14">
        <v>173.90732029577549</v>
      </c>
      <c r="D14" s="2" t="s">
        <v>16</v>
      </c>
      <c r="E14">
        <v>8450.6427837672891</v>
      </c>
      <c r="H14">
        <v>3953.3368305897529</v>
      </c>
      <c r="J14" s="47">
        <v>4506.0057504852139</v>
      </c>
      <c r="L14" s="47">
        <v>11464.51041811804</v>
      </c>
      <c r="N14" s="48">
        <v>937.0787898956587</v>
      </c>
      <c r="P14" s="49">
        <v>2161.446361549441</v>
      </c>
    </row>
    <row r="15" spans="1:62" x14ac:dyDescent="0.25">
      <c r="A15" s="2" t="s">
        <v>14</v>
      </c>
      <c r="B15">
        <v>173.9072104447707</v>
      </c>
      <c r="D15" s="2" t="s">
        <v>17</v>
      </c>
      <c r="E15">
        <v>8450.6425057858069</v>
      </c>
      <c r="H15">
        <v>3953.3366056424111</v>
      </c>
      <c r="J15" s="47">
        <v>4506.0061851448672</v>
      </c>
      <c r="L15" s="47">
        <v>11464.521138900371</v>
      </c>
      <c r="N15" s="48">
        <v>937.07853546813737</v>
      </c>
      <c r="P15" s="49">
        <v>2161.4463107923812</v>
      </c>
    </row>
    <row r="16" spans="1:62" x14ac:dyDescent="0.25">
      <c r="A16" s="2" t="s">
        <v>15</v>
      </c>
      <c r="B16">
        <v>173.90725085183939</v>
      </c>
      <c r="D16" s="2" t="s">
        <v>18</v>
      </c>
      <c r="E16">
        <v>8450.642497533152</v>
      </c>
      <c r="H16">
        <v>3953.3366615062491</v>
      </c>
      <c r="J16" s="47">
        <v>4506.0059634292911</v>
      </c>
      <c r="L16" s="47">
        <v>11464.52511608894</v>
      </c>
      <c r="N16" s="48">
        <v>937.07850518356918</v>
      </c>
      <c r="P16" s="49">
        <v>2161.4463016646619</v>
      </c>
    </row>
    <row r="17" spans="1:16" x14ac:dyDescent="0.25">
      <c r="A17" s="2" t="s">
        <v>16</v>
      </c>
      <c r="B17">
        <v>173.90722212629751</v>
      </c>
      <c r="D17" s="2" t="s">
        <v>19</v>
      </c>
      <c r="E17">
        <v>8450.6425777588775</v>
      </c>
      <c r="H17">
        <v>3953.3366889124331</v>
      </c>
      <c r="J17" s="47">
        <v>4506.0057774017559</v>
      </c>
      <c r="L17" s="47">
        <v>11464.52618879775</v>
      </c>
      <c r="N17" s="48">
        <v>937.07864867881801</v>
      </c>
      <c r="P17" s="49">
        <v>2161.446304826015</v>
      </c>
    </row>
    <row r="18" spans="1:16" x14ac:dyDescent="0.25">
      <c r="A18" s="2" t="s">
        <v>17</v>
      </c>
      <c r="B18">
        <v>173.9072700082742</v>
      </c>
      <c r="D18" s="2" t="s">
        <v>20</v>
      </c>
      <c r="E18">
        <v>8450.6425519143013</v>
      </c>
      <c r="H18">
        <v>3953.336666292616</v>
      </c>
      <c r="J18" s="47">
        <v>4506.0057916442556</v>
      </c>
      <c r="L18" s="47">
        <v>11464.526661274431</v>
      </c>
      <c r="N18" s="48">
        <v>937.07870614201386</v>
      </c>
      <c r="P18" s="49">
        <v>2161.4463080897121</v>
      </c>
    </row>
    <row r="19" spans="1:16" x14ac:dyDescent="0.25">
      <c r="A19" s="2" t="s">
        <v>18</v>
      </c>
      <c r="B19">
        <v>173.90726142353211</v>
      </c>
      <c r="D19" s="2" t="s">
        <v>21</v>
      </c>
      <c r="E19">
        <v>8450.6425782848564</v>
      </c>
      <c r="H19">
        <v>3953.33667898967</v>
      </c>
      <c r="J19" s="47">
        <v>4506.0057860963461</v>
      </c>
      <c r="L19" s="47">
        <v>11464.52636082055</v>
      </c>
      <c r="N19" s="48">
        <v>937.07869730259279</v>
      </c>
      <c r="P19" s="49">
        <v>2161.4463095755682</v>
      </c>
    </row>
    <row r="20" spans="1:16" x14ac:dyDescent="0.25">
      <c r="A20" s="2" t="s">
        <v>19</v>
      </c>
      <c r="B20">
        <v>173.90725575464569</v>
      </c>
      <c r="D20" s="2" t="s">
        <v>22</v>
      </c>
      <c r="E20">
        <v>8450.6425745785509</v>
      </c>
      <c r="H20">
        <v>3953.3366753425112</v>
      </c>
      <c r="J20" s="47">
        <v>4506.0057812222076</v>
      </c>
      <c r="L20" s="47">
        <v>11464.5258985327</v>
      </c>
      <c r="N20" s="48">
        <v>937.07868571998699</v>
      </c>
      <c r="P20" s="49">
        <v>2161.4463099667992</v>
      </c>
    </row>
    <row r="21" spans="1:16" x14ac:dyDescent="0.25">
      <c r="A21" s="2" t="s">
        <v>20</v>
      </c>
      <c r="B21">
        <v>173.90725728988161</v>
      </c>
      <c r="D21" s="2" t="s">
        <v>23</v>
      </c>
      <c r="E21">
        <v>8450.6425738902853</v>
      </c>
      <c r="H21">
        <v>3953.3366757418198</v>
      </c>
      <c r="J21" s="47">
        <v>4506.0057913691726</v>
      </c>
      <c r="L21" s="47">
        <v>11464.52572605418</v>
      </c>
      <c r="N21" s="48">
        <v>937.07869239366801</v>
      </c>
      <c r="P21" s="49">
        <v>2161.4463099607219</v>
      </c>
    </row>
    <row r="22" spans="1:16" x14ac:dyDescent="0.25">
      <c r="A22" s="2" t="s">
        <v>21</v>
      </c>
      <c r="B22">
        <v>173.9072542869653</v>
      </c>
      <c r="D22" s="2" t="s">
        <v>24</v>
      </c>
      <c r="E22">
        <v>8450.6425757376237</v>
      </c>
      <c r="H22">
        <v>3953.336676436244</v>
      </c>
      <c r="J22" s="47">
        <v>4506.0057943922266</v>
      </c>
      <c r="L22" s="47">
        <v>11464.5256714183</v>
      </c>
      <c r="N22" s="48">
        <v>937.07869867605257</v>
      </c>
      <c r="P22" s="49">
        <v>2161.4463098948381</v>
      </c>
    </row>
    <row r="23" spans="1:16" x14ac:dyDescent="0.25">
      <c r="A23" s="2" t="s">
        <v>22</v>
      </c>
      <c r="B23">
        <v>173.90725669493449</v>
      </c>
      <c r="D23" s="2" t="s">
        <v>25</v>
      </c>
      <c r="E23">
        <v>8450.6425752236701</v>
      </c>
      <c r="H23">
        <v>3953.3366759640198</v>
      </c>
      <c r="J23" s="47">
        <v>4506.0057938340406</v>
      </c>
      <c r="L23" s="47">
        <v>11464.52565815362</v>
      </c>
      <c r="N23" s="48">
        <v>937.07869968035186</v>
      </c>
      <c r="P23" s="49">
        <v>2161.446309855708</v>
      </c>
    </row>
    <row r="24" spans="1:16" x14ac:dyDescent="0.25">
      <c r="A24" s="2" t="s">
        <v>23</v>
      </c>
      <c r="B24">
        <v>173.9072566033995</v>
      </c>
      <c r="D24" s="2" t="s">
        <v>26</v>
      </c>
      <c r="E24">
        <v>8450.6425756667759</v>
      </c>
      <c r="H24">
        <v>3953.336676186223</v>
      </c>
      <c r="J24" s="47">
        <v>4506.005794144352</v>
      </c>
      <c r="L24" s="47">
        <v>11464.5256775083</v>
      </c>
      <c r="N24" s="48">
        <v>937.0786985603736</v>
      </c>
      <c r="P24" s="49">
        <v>2161.4463098423371</v>
      </c>
    </row>
    <row r="25" spans="1:16" x14ac:dyDescent="0.25">
      <c r="A25" s="2" t="s">
        <v>24</v>
      </c>
      <c r="B25">
        <v>173.90725638172509</v>
      </c>
      <c r="D25" s="2" t="s">
        <v>27</v>
      </c>
      <c r="E25">
        <v>8450.6425756296285</v>
      </c>
      <c r="H25">
        <v>3953.3366761336379</v>
      </c>
      <c r="J25" s="47">
        <v>4506.0057939966964</v>
      </c>
      <c r="L25" s="47">
        <v>11464.52569761226</v>
      </c>
      <c r="N25" s="48">
        <v>937.07869858201605</v>
      </c>
      <c r="P25" s="49">
        <v>2161.4463098405358</v>
      </c>
    </row>
    <row r="26" spans="1:16" x14ac:dyDescent="0.25">
      <c r="A26" s="2" t="s">
        <v>25</v>
      </c>
      <c r="B26">
        <v>173.90725650801511</v>
      </c>
      <c r="D26" s="2" t="s">
        <v>28</v>
      </c>
      <c r="E26">
        <v>8450.6425756071094</v>
      </c>
      <c r="H26">
        <v>3953.3366761297211</v>
      </c>
      <c r="J26" s="47">
        <v>4506.0057936992825</v>
      </c>
      <c r="L26" s="47">
        <v>11464.525705320149</v>
      </c>
      <c r="N26" s="48">
        <v>937.07869904201459</v>
      </c>
      <c r="P26" s="49">
        <v>2161.446309841589</v>
      </c>
    </row>
    <row r="27" spans="1:16" x14ac:dyDescent="0.25">
      <c r="A27" s="2" t="s">
        <v>26</v>
      </c>
      <c r="B27">
        <v>173.9072562857545</v>
      </c>
      <c r="D27" s="2" t="s">
        <v>29</v>
      </c>
      <c r="E27">
        <v>8450.642575646827</v>
      </c>
      <c r="H27">
        <v>3953.336676145716</v>
      </c>
      <c r="J27" s="47">
        <v>4506.0057936725461</v>
      </c>
      <c r="L27" s="47">
        <v>11464.52570783788</v>
      </c>
      <c r="N27" s="48">
        <v>937.07869926416765</v>
      </c>
      <c r="P27" s="49">
        <v>2161.4463098425208</v>
      </c>
    </row>
    <row r="28" spans="1:16" x14ac:dyDescent="0.25">
      <c r="A28" s="2" t="s">
        <v>27</v>
      </c>
      <c r="B28">
        <v>173.9072563888686</v>
      </c>
      <c r="D28" s="2" t="s">
        <v>30</v>
      </c>
      <c r="E28">
        <v>8450.6425756371809</v>
      </c>
      <c r="H28">
        <v>3953.336676136405</v>
      </c>
      <c r="J28" s="47">
        <v>4506.0057936819148</v>
      </c>
      <c r="L28" s="47">
        <v>11464.525708031109</v>
      </c>
      <c r="N28" s="48">
        <v>937.07869921046813</v>
      </c>
      <c r="P28" s="49">
        <v>2161.446309842921</v>
      </c>
    </row>
    <row r="29" spans="1:16" x14ac:dyDescent="0.25">
      <c r="A29" s="2" t="s">
        <v>28</v>
      </c>
      <c r="B29">
        <v>173.90725639369609</v>
      </c>
      <c r="D29" s="2" t="s">
        <v>104</v>
      </c>
      <c r="E29">
        <v>8450.6425756444078</v>
      </c>
      <c r="H29">
        <v>3953.336676140118</v>
      </c>
      <c r="J29" s="47">
        <v>4506.0057936766589</v>
      </c>
      <c r="L29" s="47">
        <v>11464.52570696146</v>
      </c>
      <c r="N29" s="48">
        <v>937.07869917912808</v>
      </c>
      <c r="P29" s="49">
        <v>2161.4463098430142</v>
      </c>
    </row>
    <row r="30" spans="1:16" x14ac:dyDescent="0.25">
      <c r="A30" s="2" t="s">
        <v>29</v>
      </c>
      <c r="B30">
        <v>173.9072563850373</v>
      </c>
      <c r="D30" s="2" t="s">
        <v>105</v>
      </c>
      <c r="E30">
        <v>8450.6425756443659</v>
      </c>
      <c r="H30">
        <v>3953.3366761394909</v>
      </c>
      <c r="J30" s="47">
        <v>4506.0057936875864</v>
      </c>
      <c r="L30" s="47">
        <v>11464.52570607634</v>
      </c>
      <c r="N30" s="48">
        <v>937.07869919923394</v>
      </c>
      <c r="P30" s="49">
        <v>2161.446309843006</v>
      </c>
    </row>
    <row r="31" spans="1:16" x14ac:dyDescent="0.25">
      <c r="A31" s="2" t="s">
        <v>30</v>
      </c>
      <c r="B31">
        <v>173.9072563970137</v>
      </c>
      <c r="D31" s="2" t="s">
        <v>106</v>
      </c>
      <c r="E31">
        <v>8450.6425756437784</v>
      </c>
      <c r="H31">
        <v>3953.3366761392208</v>
      </c>
      <c r="J31" s="47">
        <v>4506.0057936941485</v>
      </c>
      <c r="L31" s="47">
        <v>11464.52570572844</v>
      </c>
      <c r="N31" s="48">
        <v>937.0786992237322</v>
      </c>
      <c r="P31" s="49">
        <v>2161.446309842986</v>
      </c>
    </row>
    <row r="32" spans="1:16" x14ac:dyDescent="0.25">
      <c r="A32" s="2"/>
    </row>
    <row r="33" spans="1:1" x14ac:dyDescent="0.25">
      <c r="A33" s="2"/>
    </row>
    <row r="34" spans="1:1" x14ac:dyDescent="0.25">
      <c r="A34" s="2"/>
    </row>
    <row r="35" spans="1:1" x14ac:dyDescent="0.25">
      <c r="A35" s="2"/>
    </row>
    <row r="36" spans="1:1" x14ac:dyDescent="0.25">
      <c r="A36" s="2"/>
    </row>
    <row r="37" spans="1:1" x14ac:dyDescent="0.25">
      <c r="A37" s="2"/>
    </row>
    <row r="38" spans="1:1" x14ac:dyDescent="0.25">
      <c r="A38" s="2"/>
    </row>
    <row r="39" spans="1:1" x14ac:dyDescent="0.25">
      <c r="A39" s="2"/>
    </row>
    <row r="40" spans="1:1" x14ac:dyDescent="0.25">
      <c r="A40" s="2"/>
    </row>
    <row r="41" spans="1:1" x14ac:dyDescent="0.25">
      <c r="A41" s="2"/>
    </row>
    <row r="42" spans="1:1" x14ac:dyDescent="0.25">
      <c r="A42" s="2"/>
    </row>
    <row r="43" spans="1:1" x14ac:dyDescent="0.25">
      <c r="A43" s="2"/>
    </row>
    <row r="44" spans="1:1" x14ac:dyDescent="0.25">
      <c r="A44" s="2"/>
    </row>
    <row r="45" spans="1:1" x14ac:dyDescent="0.25">
      <c r="A45" s="2"/>
    </row>
    <row r="46" spans="1:1" x14ac:dyDescent="0.25">
      <c r="A46" s="2"/>
    </row>
    <row r="47" spans="1:1" x14ac:dyDescent="0.25">
      <c r="A47" s="2"/>
    </row>
    <row r="48" spans="1:1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  <row r="66" spans="1:1" x14ac:dyDescent="0.25">
      <c r="A66" s="2"/>
    </row>
    <row r="67" spans="1:1" x14ac:dyDescent="0.25">
      <c r="A67" s="2"/>
    </row>
    <row r="68" spans="1:1" x14ac:dyDescent="0.25">
      <c r="A68" s="2"/>
    </row>
    <row r="69" spans="1:1" x14ac:dyDescent="0.25">
      <c r="A69" s="2"/>
    </row>
    <row r="70" spans="1:1" x14ac:dyDescent="0.25">
      <c r="A70" s="2"/>
    </row>
    <row r="71" spans="1:1" x14ac:dyDescent="0.25">
      <c r="A71" s="2"/>
    </row>
    <row r="72" spans="1:1" x14ac:dyDescent="0.25">
      <c r="A72" s="2"/>
    </row>
    <row r="73" spans="1:1" x14ac:dyDescent="0.25">
      <c r="A73" s="2"/>
    </row>
    <row r="74" spans="1:1" x14ac:dyDescent="0.25">
      <c r="A74" s="2"/>
    </row>
    <row r="75" spans="1:1" x14ac:dyDescent="0.25">
      <c r="A75" s="2"/>
    </row>
    <row r="76" spans="1:1" x14ac:dyDescent="0.25">
      <c r="A76" s="2"/>
    </row>
    <row r="77" spans="1:1" x14ac:dyDescent="0.25">
      <c r="A77" s="2"/>
    </row>
    <row r="78" spans="1:1" x14ac:dyDescent="0.25">
      <c r="A78" s="2"/>
    </row>
    <row r="79" spans="1:1" x14ac:dyDescent="0.25">
      <c r="A79" s="2"/>
    </row>
    <row r="80" spans="1:1" x14ac:dyDescent="0.25">
      <c r="A80" s="2"/>
    </row>
    <row r="81" spans="1:1" x14ac:dyDescent="0.25">
      <c r="A81" s="2"/>
    </row>
    <row r="82" spans="1:1" x14ac:dyDescent="0.25">
      <c r="A82" s="2"/>
    </row>
    <row r="83" spans="1:1" x14ac:dyDescent="0.25">
      <c r="A83" s="2"/>
    </row>
    <row r="84" spans="1:1" x14ac:dyDescent="0.25">
      <c r="A84" s="2"/>
    </row>
    <row r="85" spans="1:1" x14ac:dyDescent="0.25">
      <c r="A85" s="2"/>
    </row>
    <row r="86" spans="1:1" x14ac:dyDescent="0.25">
      <c r="A86" s="2"/>
    </row>
    <row r="87" spans="1:1" x14ac:dyDescent="0.25">
      <c r="A87" s="2"/>
    </row>
    <row r="88" spans="1:1" x14ac:dyDescent="0.25">
      <c r="A88" s="2"/>
    </row>
    <row r="89" spans="1:1" x14ac:dyDescent="0.25">
      <c r="A89" s="2"/>
    </row>
    <row r="90" spans="1:1" x14ac:dyDescent="0.25">
      <c r="A90" s="2"/>
    </row>
    <row r="91" spans="1:1" x14ac:dyDescent="0.25">
      <c r="A91" s="2"/>
    </row>
    <row r="92" spans="1:1" x14ac:dyDescent="0.25">
      <c r="A92" s="2"/>
    </row>
    <row r="93" spans="1:1" x14ac:dyDescent="0.25">
      <c r="A93" s="2"/>
    </row>
    <row r="94" spans="1:1" x14ac:dyDescent="0.25">
      <c r="A94" s="2"/>
    </row>
    <row r="95" spans="1:1" x14ac:dyDescent="0.25">
      <c r="A95" s="2"/>
    </row>
    <row r="96" spans="1:1" x14ac:dyDescent="0.25">
      <c r="A96" s="2"/>
    </row>
    <row r="97" spans="1:1" x14ac:dyDescent="0.25">
      <c r="A97" s="2"/>
    </row>
    <row r="98" spans="1:1" x14ac:dyDescent="0.25">
      <c r="A98" s="2"/>
    </row>
    <row r="99" spans="1:1" x14ac:dyDescent="0.25">
      <c r="A99" s="2"/>
    </row>
    <row r="100" spans="1:1" x14ac:dyDescent="0.25">
      <c r="A100" s="2"/>
    </row>
    <row r="101" spans="1:1" x14ac:dyDescent="0.25">
      <c r="A101" s="2"/>
    </row>
    <row r="102" spans="1:1" x14ac:dyDescent="0.25">
      <c r="A102" s="2"/>
    </row>
    <row r="103" spans="1:1" x14ac:dyDescent="0.25">
      <c r="A103" s="2"/>
    </row>
    <row r="104" spans="1:1" x14ac:dyDescent="0.25">
      <c r="A104" s="2"/>
    </row>
    <row r="105" spans="1:1" x14ac:dyDescent="0.25">
      <c r="A105" s="2"/>
    </row>
    <row r="106" spans="1:1" x14ac:dyDescent="0.25">
      <c r="A106" s="2"/>
    </row>
    <row r="107" spans="1:1" x14ac:dyDescent="0.25">
      <c r="A107" s="2"/>
    </row>
    <row r="108" spans="1:1" x14ac:dyDescent="0.25">
      <c r="A108" s="2"/>
    </row>
    <row r="109" spans="1:1" x14ac:dyDescent="0.25">
      <c r="A109" s="2"/>
    </row>
    <row r="110" spans="1:1" x14ac:dyDescent="0.25">
      <c r="A110" s="2"/>
    </row>
    <row r="111" spans="1:1" x14ac:dyDescent="0.25">
      <c r="A111" s="2"/>
    </row>
    <row r="112" spans="1:1" x14ac:dyDescent="0.25">
      <c r="A112" s="2"/>
    </row>
    <row r="113" spans="1:1" x14ac:dyDescent="0.25">
      <c r="A113" s="2"/>
    </row>
    <row r="114" spans="1:1" x14ac:dyDescent="0.25">
      <c r="A114" s="2"/>
    </row>
    <row r="115" spans="1:1" x14ac:dyDescent="0.25">
      <c r="A115" s="2"/>
    </row>
    <row r="116" spans="1:1" x14ac:dyDescent="0.25">
      <c r="A116" s="2"/>
    </row>
    <row r="117" spans="1:1" x14ac:dyDescent="0.25">
      <c r="A117" s="2"/>
    </row>
    <row r="118" spans="1:1" x14ac:dyDescent="0.25">
      <c r="A118" s="2"/>
    </row>
    <row r="119" spans="1:1" x14ac:dyDescent="0.25">
      <c r="A119" s="2"/>
    </row>
    <row r="120" spans="1:1" x14ac:dyDescent="0.25">
      <c r="A120" s="2"/>
    </row>
    <row r="121" spans="1:1" x14ac:dyDescent="0.25">
      <c r="A121" s="2"/>
    </row>
    <row r="122" spans="1:1" x14ac:dyDescent="0.25">
      <c r="A122" s="2"/>
    </row>
    <row r="123" spans="1:1" x14ac:dyDescent="0.25">
      <c r="A123" s="2"/>
    </row>
    <row r="124" spans="1:1" x14ac:dyDescent="0.25">
      <c r="A124" s="2"/>
    </row>
    <row r="125" spans="1:1" x14ac:dyDescent="0.25">
      <c r="A125" s="2"/>
    </row>
    <row r="126" spans="1:1" x14ac:dyDescent="0.25">
      <c r="A126" s="2"/>
    </row>
    <row r="127" spans="1:1" x14ac:dyDescent="0.25">
      <c r="A127" s="2"/>
    </row>
    <row r="128" spans="1:1" x14ac:dyDescent="0.25">
      <c r="A128" s="2"/>
    </row>
    <row r="129" spans="1:1" x14ac:dyDescent="0.25">
      <c r="A129" s="2"/>
    </row>
    <row r="130" spans="1:1" x14ac:dyDescent="0.25">
      <c r="A130" s="2"/>
    </row>
    <row r="131" spans="1:1" x14ac:dyDescent="0.25">
      <c r="A131" s="2"/>
    </row>
    <row r="132" spans="1:1" x14ac:dyDescent="0.25">
      <c r="A132" s="2"/>
    </row>
    <row r="133" spans="1:1" x14ac:dyDescent="0.25">
      <c r="A133" s="2"/>
    </row>
    <row r="134" spans="1:1" x14ac:dyDescent="0.25">
      <c r="A134" s="2"/>
    </row>
    <row r="135" spans="1:1" x14ac:dyDescent="0.25">
      <c r="A135" s="2"/>
    </row>
    <row r="136" spans="1:1" x14ac:dyDescent="0.25">
      <c r="A136" s="2"/>
    </row>
    <row r="137" spans="1:1" x14ac:dyDescent="0.25">
      <c r="A137" s="2"/>
    </row>
    <row r="138" spans="1:1" x14ac:dyDescent="0.25">
      <c r="A138" s="2"/>
    </row>
    <row r="139" spans="1:1" x14ac:dyDescent="0.25">
      <c r="A139" s="2"/>
    </row>
    <row r="140" spans="1:1" x14ac:dyDescent="0.25">
      <c r="A140" s="2"/>
    </row>
    <row r="141" spans="1:1" x14ac:dyDescent="0.25">
      <c r="A141" s="2"/>
    </row>
    <row r="142" spans="1:1" x14ac:dyDescent="0.25">
      <c r="A142" s="2"/>
    </row>
    <row r="143" spans="1:1" x14ac:dyDescent="0.25">
      <c r="A143" s="2"/>
    </row>
    <row r="144" spans="1:1" x14ac:dyDescent="0.25">
      <c r="A144" s="2"/>
    </row>
    <row r="145" spans="1:1" x14ac:dyDescent="0.25">
      <c r="A145" s="2"/>
    </row>
    <row r="146" spans="1:1" x14ac:dyDescent="0.25">
      <c r="A146" s="2"/>
    </row>
    <row r="147" spans="1:1" x14ac:dyDescent="0.25">
      <c r="A147" s="2"/>
    </row>
    <row r="148" spans="1:1" x14ac:dyDescent="0.25">
      <c r="A148" s="2"/>
    </row>
    <row r="149" spans="1:1" x14ac:dyDescent="0.25">
      <c r="A149" s="2"/>
    </row>
    <row r="150" spans="1:1" x14ac:dyDescent="0.25">
      <c r="A150" s="2"/>
    </row>
    <row r="151" spans="1:1" x14ac:dyDescent="0.25">
      <c r="A151" s="2"/>
    </row>
    <row r="152" spans="1:1" x14ac:dyDescent="0.25">
      <c r="A152" s="2"/>
    </row>
    <row r="153" spans="1:1" x14ac:dyDescent="0.25">
      <c r="A153" s="2"/>
    </row>
    <row r="154" spans="1:1" x14ac:dyDescent="0.25">
      <c r="A154" s="2"/>
    </row>
    <row r="155" spans="1:1" x14ac:dyDescent="0.25">
      <c r="A155" s="2"/>
    </row>
    <row r="156" spans="1:1" x14ac:dyDescent="0.25">
      <c r="A156" s="2"/>
    </row>
    <row r="157" spans="1:1" x14ac:dyDescent="0.25">
      <c r="A157" s="2"/>
    </row>
    <row r="158" spans="1:1" x14ac:dyDescent="0.25">
      <c r="A158" s="2"/>
    </row>
    <row r="159" spans="1:1" x14ac:dyDescent="0.25">
      <c r="A159" s="2"/>
    </row>
    <row r="160" spans="1:1" x14ac:dyDescent="0.25">
      <c r="A160" s="2"/>
    </row>
    <row r="161" spans="1:1" x14ac:dyDescent="0.25">
      <c r="A161" s="2"/>
    </row>
    <row r="162" spans="1:1" x14ac:dyDescent="0.25">
      <c r="A162" s="2"/>
    </row>
    <row r="163" spans="1:1" x14ac:dyDescent="0.25">
      <c r="A163" s="2"/>
    </row>
    <row r="164" spans="1:1" x14ac:dyDescent="0.25">
      <c r="A164" s="2"/>
    </row>
    <row r="165" spans="1:1" x14ac:dyDescent="0.25">
      <c r="A165" s="2"/>
    </row>
    <row r="166" spans="1:1" x14ac:dyDescent="0.25">
      <c r="A166" s="2"/>
    </row>
    <row r="167" spans="1:1" x14ac:dyDescent="0.25">
      <c r="A167" s="2"/>
    </row>
    <row r="168" spans="1:1" x14ac:dyDescent="0.25">
      <c r="A168" s="2"/>
    </row>
    <row r="169" spans="1:1" x14ac:dyDescent="0.25">
      <c r="A169" s="2"/>
    </row>
    <row r="170" spans="1:1" x14ac:dyDescent="0.25">
      <c r="A170" s="2"/>
    </row>
    <row r="171" spans="1:1" x14ac:dyDescent="0.25">
      <c r="A171" s="2"/>
    </row>
    <row r="172" spans="1:1" x14ac:dyDescent="0.25">
      <c r="A172" s="2"/>
    </row>
    <row r="173" spans="1:1" x14ac:dyDescent="0.25">
      <c r="A173" s="2"/>
    </row>
    <row r="174" spans="1:1" x14ac:dyDescent="0.25">
      <c r="A174" s="2"/>
    </row>
    <row r="175" spans="1:1" x14ac:dyDescent="0.25">
      <c r="A175" s="2"/>
    </row>
    <row r="176" spans="1:1" x14ac:dyDescent="0.25">
      <c r="A176" s="2"/>
    </row>
    <row r="177" spans="1:1" x14ac:dyDescent="0.25">
      <c r="A177" s="2"/>
    </row>
    <row r="178" spans="1:1" x14ac:dyDescent="0.25">
      <c r="A178" s="2"/>
    </row>
    <row r="179" spans="1:1" x14ac:dyDescent="0.25">
      <c r="A179" s="2"/>
    </row>
    <row r="180" spans="1:1" x14ac:dyDescent="0.25">
      <c r="A180" s="2"/>
    </row>
    <row r="181" spans="1:1" x14ac:dyDescent="0.25">
      <c r="A181" s="2"/>
    </row>
    <row r="182" spans="1:1" x14ac:dyDescent="0.25">
      <c r="A182" s="2"/>
    </row>
    <row r="183" spans="1:1" x14ac:dyDescent="0.25">
      <c r="A183" s="2"/>
    </row>
    <row r="184" spans="1:1" x14ac:dyDescent="0.25">
      <c r="A184" s="2"/>
    </row>
    <row r="185" spans="1:1" x14ac:dyDescent="0.25">
      <c r="A185" s="2"/>
    </row>
    <row r="186" spans="1:1" x14ac:dyDescent="0.25">
      <c r="A186" s="2"/>
    </row>
    <row r="187" spans="1:1" x14ac:dyDescent="0.25">
      <c r="A187" s="2"/>
    </row>
    <row r="188" spans="1:1" x14ac:dyDescent="0.25">
      <c r="A188" s="2"/>
    </row>
    <row r="189" spans="1:1" x14ac:dyDescent="0.25">
      <c r="A189" s="2"/>
    </row>
    <row r="190" spans="1:1" x14ac:dyDescent="0.25">
      <c r="A190" s="2"/>
    </row>
    <row r="191" spans="1:1" x14ac:dyDescent="0.25">
      <c r="A191" s="2"/>
    </row>
    <row r="192" spans="1:1" x14ac:dyDescent="0.25">
      <c r="A192" s="2"/>
    </row>
    <row r="193" spans="1:1" x14ac:dyDescent="0.25">
      <c r="A193" s="2"/>
    </row>
    <row r="194" spans="1:1" x14ac:dyDescent="0.25">
      <c r="A194" s="2"/>
    </row>
    <row r="195" spans="1:1" x14ac:dyDescent="0.25">
      <c r="A195" s="2"/>
    </row>
    <row r="196" spans="1:1" x14ac:dyDescent="0.25">
      <c r="A196" s="2"/>
    </row>
    <row r="197" spans="1:1" x14ac:dyDescent="0.25">
      <c r="A197" s="2"/>
    </row>
    <row r="198" spans="1:1" x14ac:dyDescent="0.25">
      <c r="A198" s="2"/>
    </row>
    <row r="199" spans="1:1" x14ac:dyDescent="0.25">
      <c r="A199" s="2"/>
    </row>
    <row r="200" spans="1:1" x14ac:dyDescent="0.25">
      <c r="A200" s="2"/>
    </row>
    <row r="201" spans="1:1" x14ac:dyDescent="0.25">
      <c r="A201" s="2"/>
    </row>
    <row r="202" spans="1:1" x14ac:dyDescent="0.25">
      <c r="A202" s="2"/>
    </row>
    <row r="203" spans="1:1" x14ac:dyDescent="0.25">
      <c r="A203" s="2"/>
    </row>
    <row r="204" spans="1:1" x14ac:dyDescent="0.25">
      <c r="A204" s="2"/>
    </row>
    <row r="205" spans="1:1" x14ac:dyDescent="0.25">
      <c r="A205" s="2"/>
    </row>
    <row r="206" spans="1:1" x14ac:dyDescent="0.25">
      <c r="A206" s="2"/>
    </row>
    <row r="207" spans="1:1" x14ac:dyDescent="0.25">
      <c r="A207" s="2"/>
    </row>
    <row r="208" spans="1:1" x14ac:dyDescent="0.25">
      <c r="A208" s="2"/>
    </row>
    <row r="209" spans="1:1" x14ac:dyDescent="0.25">
      <c r="A209" s="2"/>
    </row>
    <row r="210" spans="1:1" x14ac:dyDescent="0.25">
      <c r="A210" s="2"/>
    </row>
    <row r="211" spans="1:1" x14ac:dyDescent="0.25">
      <c r="A211" s="2"/>
    </row>
    <row r="212" spans="1:1" x14ac:dyDescent="0.25">
      <c r="A212" s="2"/>
    </row>
    <row r="213" spans="1:1" x14ac:dyDescent="0.25">
      <c r="A213" s="2"/>
    </row>
    <row r="214" spans="1:1" x14ac:dyDescent="0.25">
      <c r="A214" s="2"/>
    </row>
    <row r="215" spans="1:1" x14ac:dyDescent="0.25">
      <c r="A215" s="2"/>
    </row>
    <row r="216" spans="1:1" x14ac:dyDescent="0.25">
      <c r="A216" s="2"/>
    </row>
    <row r="217" spans="1:1" x14ac:dyDescent="0.25">
      <c r="A217" s="2"/>
    </row>
    <row r="218" spans="1:1" x14ac:dyDescent="0.25">
      <c r="A218" s="2"/>
    </row>
    <row r="219" spans="1:1" x14ac:dyDescent="0.25">
      <c r="A219" s="2"/>
    </row>
    <row r="220" spans="1:1" x14ac:dyDescent="0.25">
      <c r="A220" s="2"/>
    </row>
    <row r="221" spans="1:1" x14ac:dyDescent="0.25">
      <c r="A221" s="2"/>
    </row>
    <row r="222" spans="1:1" x14ac:dyDescent="0.25">
      <c r="A222" s="2"/>
    </row>
    <row r="223" spans="1:1" x14ac:dyDescent="0.25">
      <c r="A223" s="2"/>
    </row>
    <row r="224" spans="1:1" x14ac:dyDescent="0.25">
      <c r="A224" s="2"/>
    </row>
    <row r="225" spans="1:1" x14ac:dyDescent="0.25">
      <c r="A225" s="2"/>
    </row>
    <row r="226" spans="1:1" x14ac:dyDescent="0.25">
      <c r="A226" s="2"/>
    </row>
    <row r="227" spans="1:1" x14ac:dyDescent="0.25">
      <c r="A227" s="2"/>
    </row>
    <row r="228" spans="1:1" x14ac:dyDescent="0.25">
      <c r="A228" s="2"/>
    </row>
    <row r="229" spans="1:1" x14ac:dyDescent="0.25">
      <c r="A229" s="2"/>
    </row>
    <row r="230" spans="1:1" x14ac:dyDescent="0.25">
      <c r="A230" s="2"/>
    </row>
    <row r="231" spans="1:1" x14ac:dyDescent="0.25">
      <c r="A231" s="2"/>
    </row>
    <row r="232" spans="1:1" x14ac:dyDescent="0.25">
      <c r="A232" s="2"/>
    </row>
    <row r="233" spans="1:1" x14ac:dyDescent="0.25">
      <c r="A233" s="2"/>
    </row>
    <row r="234" spans="1:1" x14ac:dyDescent="0.25">
      <c r="A234" s="2"/>
    </row>
    <row r="235" spans="1:1" x14ac:dyDescent="0.25">
      <c r="A235" s="2"/>
    </row>
    <row r="236" spans="1:1" x14ac:dyDescent="0.25">
      <c r="A236" s="2"/>
    </row>
    <row r="237" spans="1:1" x14ac:dyDescent="0.25">
      <c r="A237" s="2"/>
    </row>
    <row r="238" spans="1:1" x14ac:dyDescent="0.25">
      <c r="A238" s="2"/>
    </row>
    <row r="239" spans="1:1" x14ac:dyDescent="0.25">
      <c r="A239" s="2"/>
    </row>
    <row r="240" spans="1:1" x14ac:dyDescent="0.25">
      <c r="A240" s="2"/>
    </row>
    <row r="241" spans="1:1" x14ac:dyDescent="0.25">
      <c r="A241" s="2"/>
    </row>
    <row r="242" spans="1:1" x14ac:dyDescent="0.25">
      <c r="A242" s="2"/>
    </row>
    <row r="243" spans="1:1" x14ac:dyDescent="0.25">
      <c r="A243" s="2"/>
    </row>
    <row r="244" spans="1:1" x14ac:dyDescent="0.25">
      <c r="A244" s="2"/>
    </row>
    <row r="245" spans="1:1" x14ac:dyDescent="0.25">
      <c r="A245" s="2"/>
    </row>
    <row r="246" spans="1:1" x14ac:dyDescent="0.25">
      <c r="A246" s="2"/>
    </row>
    <row r="247" spans="1:1" x14ac:dyDescent="0.25">
      <c r="A247" s="2"/>
    </row>
    <row r="248" spans="1:1" x14ac:dyDescent="0.25">
      <c r="A248" s="2"/>
    </row>
    <row r="249" spans="1:1" x14ac:dyDescent="0.25">
      <c r="A249" s="2"/>
    </row>
    <row r="250" spans="1:1" x14ac:dyDescent="0.25">
      <c r="A250" s="2"/>
    </row>
    <row r="251" spans="1:1" x14ac:dyDescent="0.25">
      <c r="A251" s="2"/>
    </row>
    <row r="252" spans="1:1" x14ac:dyDescent="0.25">
      <c r="A252" s="2"/>
    </row>
    <row r="253" spans="1:1" x14ac:dyDescent="0.25">
      <c r="A253" s="2"/>
    </row>
    <row r="254" spans="1:1" x14ac:dyDescent="0.25">
      <c r="A254" s="2"/>
    </row>
    <row r="255" spans="1:1" x14ac:dyDescent="0.25">
      <c r="A255" s="2"/>
    </row>
    <row r="256" spans="1:1" x14ac:dyDescent="0.25">
      <c r="A256" s="2"/>
    </row>
    <row r="257" spans="1:1" x14ac:dyDescent="0.25">
      <c r="A257" s="2"/>
    </row>
    <row r="258" spans="1:1" x14ac:dyDescent="0.25">
      <c r="A258" s="2"/>
    </row>
    <row r="259" spans="1:1" x14ac:dyDescent="0.25">
      <c r="A259" s="2"/>
    </row>
    <row r="260" spans="1:1" x14ac:dyDescent="0.25">
      <c r="A260" s="2"/>
    </row>
    <row r="261" spans="1:1" x14ac:dyDescent="0.25">
      <c r="A261" s="2"/>
    </row>
    <row r="262" spans="1:1" x14ac:dyDescent="0.25">
      <c r="A262" s="2"/>
    </row>
    <row r="263" spans="1:1" x14ac:dyDescent="0.25">
      <c r="A263" s="2"/>
    </row>
    <row r="264" spans="1:1" x14ac:dyDescent="0.25">
      <c r="A264" s="2"/>
    </row>
    <row r="265" spans="1:1" x14ac:dyDescent="0.25">
      <c r="A265" s="2"/>
    </row>
    <row r="266" spans="1:1" x14ac:dyDescent="0.25">
      <c r="A266" s="2"/>
    </row>
    <row r="267" spans="1:1" x14ac:dyDescent="0.25">
      <c r="A267" s="2"/>
    </row>
    <row r="268" spans="1:1" x14ac:dyDescent="0.25">
      <c r="A268" s="2"/>
    </row>
    <row r="269" spans="1:1" x14ac:dyDescent="0.25">
      <c r="A269" s="2"/>
    </row>
    <row r="270" spans="1:1" x14ac:dyDescent="0.25">
      <c r="A270" s="2"/>
    </row>
    <row r="271" spans="1:1" x14ac:dyDescent="0.25">
      <c r="A271" s="2"/>
    </row>
    <row r="272" spans="1:1" x14ac:dyDescent="0.25">
      <c r="A272" s="2"/>
    </row>
    <row r="273" spans="1:1" x14ac:dyDescent="0.25">
      <c r="A273" s="2"/>
    </row>
    <row r="274" spans="1:1" x14ac:dyDescent="0.25">
      <c r="A274" s="2"/>
    </row>
    <row r="275" spans="1:1" x14ac:dyDescent="0.25">
      <c r="A275" s="2"/>
    </row>
    <row r="276" spans="1:1" x14ac:dyDescent="0.25">
      <c r="A276" s="2"/>
    </row>
    <row r="277" spans="1:1" x14ac:dyDescent="0.25">
      <c r="A277" s="2"/>
    </row>
    <row r="278" spans="1:1" x14ac:dyDescent="0.25">
      <c r="A278" s="2"/>
    </row>
    <row r="279" spans="1:1" x14ac:dyDescent="0.25">
      <c r="A279" s="2"/>
    </row>
    <row r="280" spans="1:1" x14ac:dyDescent="0.25">
      <c r="A280" s="2"/>
    </row>
    <row r="281" spans="1:1" x14ac:dyDescent="0.25">
      <c r="A281" s="2"/>
    </row>
    <row r="282" spans="1:1" x14ac:dyDescent="0.25">
      <c r="A282" s="2"/>
    </row>
    <row r="283" spans="1:1" x14ac:dyDescent="0.25">
      <c r="A283" s="2"/>
    </row>
    <row r="284" spans="1:1" x14ac:dyDescent="0.25">
      <c r="A284" s="2"/>
    </row>
    <row r="285" spans="1:1" x14ac:dyDescent="0.25">
      <c r="A285" s="2"/>
    </row>
    <row r="286" spans="1:1" x14ac:dyDescent="0.25">
      <c r="A286" s="2"/>
    </row>
    <row r="287" spans="1:1" x14ac:dyDescent="0.25">
      <c r="A287" s="2"/>
    </row>
    <row r="288" spans="1:1" x14ac:dyDescent="0.25">
      <c r="A288" s="2"/>
    </row>
    <row r="289" spans="1:1" x14ac:dyDescent="0.25">
      <c r="A289" s="2"/>
    </row>
    <row r="290" spans="1:1" x14ac:dyDescent="0.25">
      <c r="A290" s="2"/>
    </row>
    <row r="291" spans="1:1" x14ac:dyDescent="0.25">
      <c r="A291" s="2"/>
    </row>
    <row r="292" spans="1:1" x14ac:dyDescent="0.25">
      <c r="A292" s="2"/>
    </row>
    <row r="293" spans="1:1" x14ac:dyDescent="0.25">
      <c r="A293" s="2"/>
    </row>
    <row r="294" spans="1:1" x14ac:dyDescent="0.25">
      <c r="A294" s="2"/>
    </row>
    <row r="295" spans="1:1" x14ac:dyDescent="0.25">
      <c r="A295" s="2"/>
    </row>
    <row r="296" spans="1:1" x14ac:dyDescent="0.25">
      <c r="A296" s="2"/>
    </row>
    <row r="297" spans="1:1" x14ac:dyDescent="0.25">
      <c r="A297" s="2"/>
    </row>
    <row r="298" spans="1:1" x14ac:dyDescent="0.25">
      <c r="A298" s="2"/>
    </row>
    <row r="299" spans="1:1" x14ac:dyDescent="0.25">
      <c r="A299" s="2"/>
    </row>
    <row r="300" spans="1:1" x14ac:dyDescent="0.25">
      <c r="A300" s="2"/>
    </row>
    <row r="301" spans="1:1" x14ac:dyDescent="0.25">
      <c r="A301" s="2"/>
    </row>
    <row r="302" spans="1:1" x14ac:dyDescent="0.25">
      <c r="A302" s="2"/>
    </row>
    <row r="303" spans="1:1" x14ac:dyDescent="0.25">
      <c r="A303" s="2"/>
    </row>
    <row r="304" spans="1:1" x14ac:dyDescent="0.25">
      <c r="A304" s="2"/>
    </row>
    <row r="305" spans="1:1" x14ac:dyDescent="0.25">
      <c r="A305" s="2"/>
    </row>
    <row r="306" spans="1:1" x14ac:dyDescent="0.25">
      <c r="A306" s="2"/>
    </row>
    <row r="307" spans="1:1" x14ac:dyDescent="0.25">
      <c r="A307" s="2"/>
    </row>
    <row r="308" spans="1:1" x14ac:dyDescent="0.25">
      <c r="A308" s="2"/>
    </row>
    <row r="309" spans="1:1" x14ac:dyDescent="0.25">
      <c r="A309" s="2"/>
    </row>
    <row r="310" spans="1:1" x14ac:dyDescent="0.25">
      <c r="A310" s="2"/>
    </row>
    <row r="311" spans="1:1" x14ac:dyDescent="0.25">
      <c r="A311" s="2"/>
    </row>
    <row r="312" spans="1:1" x14ac:dyDescent="0.25">
      <c r="A312" s="2"/>
    </row>
    <row r="313" spans="1:1" x14ac:dyDescent="0.25">
      <c r="A313" s="2"/>
    </row>
    <row r="314" spans="1:1" x14ac:dyDescent="0.25">
      <c r="A314" s="2"/>
    </row>
    <row r="315" spans="1:1" x14ac:dyDescent="0.25">
      <c r="A315" s="2"/>
    </row>
    <row r="316" spans="1:1" x14ac:dyDescent="0.25">
      <c r="A316" s="2"/>
    </row>
    <row r="317" spans="1:1" x14ac:dyDescent="0.25">
      <c r="A317" s="2"/>
    </row>
    <row r="318" spans="1:1" x14ac:dyDescent="0.25">
      <c r="A318" s="2"/>
    </row>
    <row r="319" spans="1:1" x14ac:dyDescent="0.25">
      <c r="A319" s="2"/>
    </row>
    <row r="320" spans="1:1" x14ac:dyDescent="0.25">
      <c r="A320" s="2"/>
    </row>
    <row r="321" spans="1:1" x14ac:dyDescent="0.25">
      <c r="A321" s="2"/>
    </row>
    <row r="322" spans="1:1" x14ac:dyDescent="0.25">
      <c r="A322" s="2"/>
    </row>
    <row r="323" spans="1:1" x14ac:dyDescent="0.25">
      <c r="A323" s="2"/>
    </row>
    <row r="324" spans="1:1" x14ac:dyDescent="0.25">
      <c r="A324" s="2"/>
    </row>
    <row r="325" spans="1:1" x14ac:dyDescent="0.25">
      <c r="A325" s="2"/>
    </row>
    <row r="326" spans="1:1" x14ac:dyDescent="0.25">
      <c r="A326" s="2"/>
    </row>
    <row r="327" spans="1:1" x14ac:dyDescent="0.25">
      <c r="A327" s="2"/>
    </row>
    <row r="328" spans="1:1" x14ac:dyDescent="0.25">
      <c r="A328" s="2"/>
    </row>
    <row r="329" spans="1:1" x14ac:dyDescent="0.25">
      <c r="A329" s="2"/>
    </row>
    <row r="330" spans="1:1" x14ac:dyDescent="0.25">
      <c r="A330" s="2"/>
    </row>
    <row r="331" spans="1:1" x14ac:dyDescent="0.25">
      <c r="A331" s="2"/>
    </row>
    <row r="332" spans="1:1" x14ac:dyDescent="0.25">
      <c r="A332" s="2"/>
    </row>
    <row r="333" spans="1:1" x14ac:dyDescent="0.25">
      <c r="A333" s="2"/>
    </row>
    <row r="334" spans="1:1" x14ac:dyDescent="0.25">
      <c r="A334" s="2"/>
    </row>
    <row r="335" spans="1:1" x14ac:dyDescent="0.25">
      <c r="A335" s="2"/>
    </row>
    <row r="336" spans="1:1" x14ac:dyDescent="0.25">
      <c r="A336" s="2"/>
    </row>
    <row r="337" spans="1:1" x14ac:dyDescent="0.25">
      <c r="A337" s="2"/>
    </row>
    <row r="338" spans="1:1" x14ac:dyDescent="0.25">
      <c r="A338" s="2"/>
    </row>
    <row r="339" spans="1:1" x14ac:dyDescent="0.25">
      <c r="A339" s="2"/>
    </row>
    <row r="340" spans="1:1" x14ac:dyDescent="0.25">
      <c r="A340" s="2"/>
    </row>
    <row r="341" spans="1:1" x14ac:dyDescent="0.25">
      <c r="A341" s="2"/>
    </row>
    <row r="342" spans="1:1" x14ac:dyDescent="0.25">
      <c r="A342" s="2"/>
    </row>
    <row r="343" spans="1:1" x14ac:dyDescent="0.25">
      <c r="A343" s="2"/>
    </row>
    <row r="344" spans="1:1" x14ac:dyDescent="0.25">
      <c r="A344" s="2"/>
    </row>
    <row r="345" spans="1:1" x14ac:dyDescent="0.25">
      <c r="A345" s="2"/>
    </row>
    <row r="346" spans="1:1" x14ac:dyDescent="0.25">
      <c r="A346" s="2"/>
    </row>
    <row r="347" spans="1:1" x14ac:dyDescent="0.25">
      <c r="A347" s="2"/>
    </row>
    <row r="348" spans="1:1" x14ac:dyDescent="0.25">
      <c r="A348" s="2"/>
    </row>
    <row r="349" spans="1:1" x14ac:dyDescent="0.25">
      <c r="A349" s="2"/>
    </row>
    <row r="350" spans="1:1" x14ac:dyDescent="0.25">
      <c r="A350" s="2"/>
    </row>
    <row r="351" spans="1:1" x14ac:dyDescent="0.25">
      <c r="A351" s="2"/>
    </row>
    <row r="352" spans="1:1" x14ac:dyDescent="0.25">
      <c r="A352" s="2"/>
    </row>
    <row r="353" spans="1:1" x14ac:dyDescent="0.25">
      <c r="A353" s="2"/>
    </row>
    <row r="354" spans="1:1" x14ac:dyDescent="0.25">
      <c r="A354" s="2"/>
    </row>
    <row r="355" spans="1:1" x14ac:dyDescent="0.25">
      <c r="A355" s="2"/>
    </row>
    <row r="356" spans="1:1" x14ac:dyDescent="0.25">
      <c r="A356" s="2"/>
    </row>
    <row r="357" spans="1:1" x14ac:dyDescent="0.25">
      <c r="A357" s="2"/>
    </row>
    <row r="358" spans="1:1" x14ac:dyDescent="0.25">
      <c r="A358" s="2"/>
    </row>
    <row r="359" spans="1:1" x14ac:dyDescent="0.25">
      <c r="A359" s="2"/>
    </row>
    <row r="360" spans="1:1" x14ac:dyDescent="0.25">
      <c r="A360" s="2"/>
    </row>
    <row r="361" spans="1:1" x14ac:dyDescent="0.25">
      <c r="A361" s="2"/>
    </row>
    <row r="362" spans="1:1" x14ac:dyDescent="0.25">
      <c r="A362" s="2"/>
    </row>
    <row r="363" spans="1:1" x14ac:dyDescent="0.25">
      <c r="A363" s="2"/>
    </row>
    <row r="364" spans="1:1" x14ac:dyDescent="0.25">
      <c r="A364" s="2"/>
    </row>
    <row r="365" spans="1:1" x14ac:dyDescent="0.25">
      <c r="A365" s="2"/>
    </row>
    <row r="366" spans="1:1" x14ac:dyDescent="0.25">
      <c r="A366" s="2"/>
    </row>
    <row r="367" spans="1:1" x14ac:dyDescent="0.25">
      <c r="A367" s="2"/>
    </row>
    <row r="368" spans="1:1" x14ac:dyDescent="0.25">
      <c r="A368" s="2"/>
    </row>
    <row r="369" spans="1:1" x14ac:dyDescent="0.25">
      <c r="A369" s="2"/>
    </row>
    <row r="370" spans="1:1" x14ac:dyDescent="0.25">
      <c r="A370" s="2"/>
    </row>
    <row r="371" spans="1:1" x14ac:dyDescent="0.25">
      <c r="A371" s="2"/>
    </row>
    <row r="372" spans="1:1" x14ac:dyDescent="0.25">
      <c r="A372" s="2"/>
    </row>
    <row r="373" spans="1:1" x14ac:dyDescent="0.25">
      <c r="A373" s="2"/>
    </row>
    <row r="374" spans="1:1" x14ac:dyDescent="0.25">
      <c r="A374" s="2"/>
    </row>
    <row r="375" spans="1:1" x14ac:dyDescent="0.25">
      <c r="A375" s="2"/>
    </row>
    <row r="376" spans="1:1" x14ac:dyDescent="0.25">
      <c r="A376" s="2"/>
    </row>
    <row r="377" spans="1:1" x14ac:dyDescent="0.25">
      <c r="A377" s="2"/>
    </row>
    <row r="378" spans="1:1" x14ac:dyDescent="0.25">
      <c r="A378" s="2"/>
    </row>
    <row r="379" spans="1:1" x14ac:dyDescent="0.25">
      <c r="A379" s="2"/>
    </row>
    <row r="380" spans="1:1" x14ac:dyDescent="0.25">
      <c r="A380" s="2"/>
    </row>
    <row r="381" spans="1:1" x14ac:dyDescent="0.25">
      <c r="A381" s="2"/>
    </row>
    <row r="382" spans="1:1" x14ac:dyDescent="0.25">
      <c r="A382" s="2"/>
    </row>
    <row r="383" spans="1:1" x14ac:dyDescent="0.25">
      <c r="A383" s="2"/>
    </row>
    <row r="384" spans="1:1" x14ac:dyDescent="0.25">
      <c r="A384" s="2"/>
    </row>
    <row r="385" spans="1:1" x14ac:dyDescent="0.25">
      <c r="A385" s="2"/>
    </row>
    <row r="386" spans="1:1" x14ac:dyDescent="0.25">
      <c r="A386" s="2"/>
    </row>
    <row r="387" spans="1:1" x14ac:dyDescent="0.25">
      <c r="A387" s="2"/>
    </row>
    <row r="388" spans="1:1" x14ac:dyDescent="0.25">
      <c r="A388" s="2"/>
    </row>
    <row r="389" spans="1:1" x14ac:dyDescent="0.25">
      <c r="A389" s="2"/>
    </row>
    <row r="390" spans="1:1" x14ac:dyDescent="0.25">
      <c r="A390" s="2"/>
    </row>
    <row r="391" spans="1:1" x14ac:dyDescent="0.25">
      <c r="A391" s="2"/>
    </row>
    <row r="392" spans="1:1" x14ac:dyDescent="0.25">
      <c r="A392" s="2"/>
    </row>
    <row r="393" spans="1:1" x14ac:dyDescent="0.25">
      <c r="A393" s="2"/>
    </row>
    <row r="394" spans="1:1" x14ac:dyDescent="0.25">
      <c r="A394" s="2"/>
    </row>
    <row r="395" spans="1:1" x14ac:dyDescent="0.25">
      <c r="A395" s="2"/>
    </row>
    <row r="396" spans="1:1" x14ac:dyDescent="0.25">
      <c r="A396" s="2"/>
    </row>
    <row r="397" spans="1:1" x14ac:dyDescent="0.25">
      <c r="A397" s="2"/>
    </row>
    <row r="398" spans="1:1" x14ac:dyDescent="0.25">
      <c r="A398" s="2"/>
    </row>
    <row r="399" spans="1:1" x14ac:dyDescent="0.25">
      <c r="A399" s="2"/>
    </row>
    <row r="400" spans="1:1" x14ac:dyDescent="0.25">
      <c r="A400" s="2"/>
    </row>
    <row r="401" spans="1:1" x14ac:dyDescent="0.25">
      <c r="A401" s="2"/>
    </row>
    <row r="402" spans="1:1" x14ac:dyDescent="0.25">
      <c r="A402" s="2"/>
    </row>
    <row r="403" spans="1:1" x14ac:dyDescent="0.25">
      <c r="A403" s="2"/>
    </row>
    <row r="404" spans="1:1" x14ac:dyDescent="0.25">
      <c r="A404" s="2"/>
    </row>
    <row r="405" spans="1:1" x14ac:dyDescent="0.25">
      <c r="A405" s="2"/>
    </row>
    <row r="406" spans="1:1" x14ac:dyDescent="0.25">
      <c r="A406" s="2"/>
    </row>
    <row r="407" spans="1:1" x14ac:dyDescent="0.25">
      <c r="A407" s="2"/>
    </row>
    <row r="408" spans="1:1" x14ac:dyDescent="0.25">
      <c r="A408" s="2"/>
    </row>
    <row r="409" spans="1:1" x14ac:dyDescent="0.25">
      <c r="A409" s="2"/>
    </row>
    <row r="410" spans="1:1" x14ac:dyDescent="0.25">
      <c r="A410" s="2"/>
    </row>
    <row r="411" spans="1:1" x14ac:dyDescent="0.25">
      <c r="A411" s="2"/>
    </row>
    <row r="412" spans="1:1" x14ac:dyDescent="0.25">
      <c r="A412" s="2"/>
    </row>
    <row r="413" spans="1:1" x14ac:dyDescent="0.25">
      <c r="A413" s="2"/>
    </row>
    <row r="414" spans="1:1" x14ac:dyDescent="0.25">
      <c r="A414" s="2"/>
    </row>
    <row r="415" spans="1:1" x14ac:dyDescent="0.25">
      <c r="A415" s="2"/>
    </row>
    <row r="416" spans="1:1" x14ac:dyDescent="0.25">
      <c r="A416" s="2"/>
    </row>
    <row r="417" spans="1:1" x14ac:dyDescent="0.25">
      <c r="A417" s="2"/>
    </row>
    <row r="418" spans="1:1" x14ac:dyDescent="0.25">
      <c r="A418" s="2"/>
    </row>
    <row r="419" spans="1:1" x14ac:dyDescent="0.25">
      <c r="A419" s="2"/>
    </row>
    <row r="420" spans="1:1" x14ac:dyDescent="0.25">
      <c r="A420" s="2"/>
    </row>
    <row r="421" spans="1:1" x14ac:dyDescent="0.25">
      <c r="A421" s="2"/>
    </row>
    <row r="422" spans="1:1" x14ac:dyDescent="0.25">
      <c r="A422" s="2"/>
    </row>
    <row r="423" spans="1:1" x14ac:dyDescent="0.25">
      <c r="A423" s="2"/>
    </row>
    <row r="424" spans="1:1" x14ac:dyDescent="0.25">
      <c r="A424" s="2"/>
    </row>
    <row r="425" spans="1:1" x14ac:dyDescent="0.25">
      <c r="A425" s="2"/>
    </row>
    <row r="426" spans="1:1" x14ac:dyDescent="0.25">
      <c r="A426" s="2"/>
    </row>
    <row r="427" spans="1:1" x14ac:dyDescent="0.25">
      <c r="A427" s="2"/>
    </row>
    <row r="428" spans="1:1" x14ac:dyDescent="0.25">
      <c r="A428" s="2"/>
    </row>
    <row r="429" spans="1:1" x14ac:dyDescent="0.25">
      <c r="A429" s="2"/>
    </row>
    <row r="430" spans="1:1" x14ac:dyDescent="0.25">
      <c r="A430" s="2"/>
    </row>
    <row r="431" spans="1:1" x14ac:dyDescent="0.25">
      <c r="A431" s="2"/>
    </row>
    <row r="432" spans="1:1" x14ac:dyDescent="0.25">
      <c r="A432" s="2"/>
    </row>
    <row r="433" spans="1:1" x14ac:dyDescent="0.25">
      <c r="A433" s="2"/>
    </row>
    <row r="434" spans="1:1" x14ac:dyDescent="0.25">
      <c r="A434" s="2"/>
    </row>
    <row r="435" spans="1:1" x14ac:dyDescent="0.25">
      <c r="A435" s="2"/>
    </row>
    <row r="436" spans="1:1" x14ac:dyDescent="0.25">
      <c r="A436" s="2"/>
    </row>
    <row r="437" spans="1:1" x14ac:dyDescent="0.25">
      <c r="A437" s="2"/>
    </row>
    <row r="438" spans="1:1" x14ac:dyDescent="0.25">
      <c r="A438" s="2"/>
    </row>
    <row r="439" spans="1:1" x14ac:dyDescent="0.25">
      <c r="A439" s="2"/>
    </row>
    <row r="440" spans="1:1" x14ac:dyDescent="0.25">
      <c r="A440" s="2"/>
    </row>
    <row r="441" spans="1:1" x14ac:dyDescent="0.25">
      <c r="A441" s="2"/>
    </row>
    <row r="442" spans="1:1" x14ac:dyDescent="0.25">
      <c r="A442" s="2"/>
    </row>
    <row r="443" spans="1:1" x14ac:dyDescent="0.25">
      <c r="A443" s="2"/>
    </row>
    <row r="444" spans="1:1" x14ac:dyDescent="0.25">
      <c r="A444" s="2"/>
    </row>
    <row r="445" spans="1:1" x14ac:dyDescent="0.25">
      <c r="A445" s="2"/>
    </row>
    <row r="446" spans="1:1" x14ac:dyDescent="0.25">
      <c r="A446" s="2"/>
    </row>
    <row r="447" spans="1:1" x14ac:dyDescent="0.25">
      <c r="A447" s="2"/>
    </row>
    <row r="448" spans="1:1" x14ac:dyDescent="0.25">
      <c r="A448" s="2"/>
    </row>
    <row r="449" spans="1:1" x14ac:dyDescent="0.25">
      <c r="A449" s="2"/>
    </row>
    <row r="450" spans="1:1" x14ac:dyDescent="0.25">
      <c r="A450" s="2"/>
    </row>
    <row r="451" spans="1:1" x14ac:dyDescent="0.25">
      <c r="A451" s="2"/>
    </row>
    <row r="452" spans="1:1" x14ac:dyDescent="0.25">
      <c r="A452" s="2"/>
    </row>
    <row r="453" spans="1:1" x14ac:dyDescent="0.25">
      <c r="A453" s="2"/>
    </row>
    <row r="454" spans="1:1" x14ac:dyDescent="0.25">
      <c r="A454" s="2"/>
    </row>
    <row r="455" spans="1:1" x14ac:dyDescent="0.25">
      <c r="A455" s="2"/>
    </row>
    <row r="456" spans="1:1" x14ac:dyDescent="0.25">
      <c r="A456" s="2"/>
    </row>
    <row r="457" spans="1:1" x14ac:dyDescent="0.25">
      <c r="A457" s="2"/>
    </row>
    <row r="458" spans="1:1" x14ac:dyDescent="0.25">
      <c r="A458" s="2"/>
    </row>
    <row r="459" spans="1:1" x14ac:dyDescent="0.25">
      <c r="A459" s="2"/>
    </row>
    <row r="460" spans="1:1" x14ac:dyDescent="0.25">
      <c r="A460" s="2"/>
    </row>
    <row r="461" spans="1:1" x14ac:dyDescent="0.25">
      <c r="A461" s="2"/>
    </row>
    <row r="462" spans="1:1" x14ac:dyDescent="0.25">
      <c r="A462" s="2"/>
    </row>
    <row r="463" spans="1:1" x14ac:dyDescent="0.25">
      <c r="A463" s="2"/>
    </row>
    <row r="464" spans="1:1" x14ac:dyDescent="0.25">
      <c r="A464" s="2"/>
    </row>
    <row r="465" spans="1:1" x14ac:dyDescent="0.25">
      <c r="A465" s="2"/>
    </row>
    <row r="466" spans="1:1" x14ac:dyDescent="0.25">
      <c r="A466" s="2"/>
    </row>
    <row r="467" spans="1:1" x14ac:dyDescent="0.25">
      <c r="A467" s="2"/>
    </row>
    <row r="468" spans="1:1" x14ac:dyDescent="0.25">
      <c r="A468" s="2"/>
    </row>
    <row r="469" spans="1:1" x14ac:dyDescent="0.25">
      <c r="A469" s="2"/>
    </row>
    <row r="470" spans="1:1" x14ac:dyDescent="0.25">
      <c r="A470" s="2"/>
    </row>
    <row r="471" spans="1:1" x14ac:dyDescent="0.25">
      <c r="A471" s="2"/>
    </row>
    <row r="472" spans="1:1" x14ac:dyDescent="0.25">
      <c r="A472" s="2"/>
    </row>
    <row r="473" spans="1:1" x14ac:dyDescent="0.25">
      <c r="A473" s="2"/>
    </row>
    <row r="474" spans="1:1" x14ac:dyDescent="0.25">
      <c r="A474" s="2"/>
    </row>
    <row r="475" spans="1:1" x14ac:dyDescent="0.25">
      <c r="A475" s="2"/>
    </row>
    <row r="476" spans="1:1" x14ac:dyDescent="0.25">
      <c r="A476" s="2"/>
    </row>
    <row r="477" spans="1:1" x14ac:dyDescent="0.25">
      <c r="A477" s="2"/>
    </row>
    <row r="478" spans="1:1" x14ac:dyDescent="0.25">
      <c r="A478" s="2"/>
    </row>
    <row r="479" spans="1:1" x14ac:dyDescent="0.25">
      <c r="A479" s="2"/>
    </row>
    <row r="480" spans="1:1" x14ac:dyDescent="0.25">
      <c r="A480" s="2"/>
    </row>
    <row r="481" spans="1:1" x14ac:dyDescent="0.25">
      <c r="A481" s="2"/>
    </row>
    <row r="482" spans="1:1" x14ac:dyDescent="0.25">
      <c r="A482" s="2"/>
    </row>
    <row r="483" spans="1:1" x14ac:dyDescent="0.25">
      <c r="A483" s="2"/>
    </row>
    <row r="484" spans="1:1" x14ac:dyDescent="0.25">
      <c r="A484" s="2"/>
    </row>
    <row r="485" spans="1:1" x14ac:dyDescent="0.25">
      <c r="A485" s="2"/>
    </row>
    <row r="486" spans="1:1" x14ac:dyDescent="0.25">
      <c r="A486" s="2"/>
    </row>
    <row r="487" spans="1:1" x14ac:dyDescent="0.25">
      <c r="A487" s="2"/>
    </row>
    <row r="488" spans="1:1" x14ac:dyDescent="0.25">
      <c r="A488" s="2"/>
    </row>
    <row r="489" spans="1:1" x14ac:dyDescent="0.25">
      <c r="A489" s="2"/>
    </row>
    <row r="490" spans="1:1" x14ac:dyDescent="0.25">
      <c r="A490" s="2"/>
    </row>
    <row r="491" spans="1:1" x14ac:dyDescent="0.25">
      <c r="A491" s="2"/>
    </row>
    <row r="492" spans="1:1" x14ac:dyDescent="0.25">
      <c r="A492" s="2"/>
    </row>
    <row r="493" spans="1:1" x14ac:dyDescent="0.25">
      <c r="A493" s="2"/>
    </row>
    <row r="494" spans="1:1" x14ac:dyDescent="0.25">
      <c r="A494" s="2"/>
    </row>
    <row r="495" spans="1:1" x14ac:dyDescent="0.25">
      <c r="A495" s="2"/>
    </row>
    <row r="496" spans="1:1" x14ac:dyDescent="0.25">
      <c r="A496" s="2"/>
    </row>
    <row r="497" spans="1:1" x14ac:dyDescent="0.25">
      <c r="A497" s="2"/>
    </row>
    <row r="498" spans="1:1" x14ac:dyDescent="0.25">
      <c r="A498" s="2"/>
    </row>
    <row r="499" spans="1:1" x14ac:dyDescent="0.25">
      <c r="A499" s="2"/>
    </row>
    <row r="500" spans="1:1" x14ac:dyDescent="0.25">
      <c r="A500" s="2"/>
    </row>
    <row r="501" spans="1:1" x14ac:dyDescent="0.25">
      <c r="A501" s="2"/>
    </row>
    <row r="502" spans="1:1" x14ac:dyDescent="0.25">
      <c r="A502" s="2"/>
    </row>
    <row r="503" spans="1:1" x14ac:dyDescent="0.25">
      <c r="A503" s="2"/>
    </row>
    <row r="504" spans="1:1" x14ac:dyDescent="0.25">
      <c r="A504" s="2"/>
    </row>
    <row r="505" spans="1:1" x14ac:dyDescent="0.25">
      <c r="A505" s="2"/>
    </row>
    <row r="506" spans="1:1" x14ac:dyDescent="0.25">
      <c r="A506" s="2"/>
    </row>
    <row r="507" spans="1:1" x14ac:dyDescent="0.25">
      <c r="A507" s="2"/>
    </row>
    <row r="508" spans="1:1" x14ac:dyDescent="0.25">
      <c r="A508" s="2"/>
    </row>
    <row r="509" spans="1:1" x14ac:dyDescent="0.25">
      <c r="A509" s="2"/>
    </row>
    <row r="510" spans="1:1" x14ac:dyDescent="0.25">
      <c r="A510" s="2"/>
    </row>
    <row r="511" spans="1:1" x14ac:dyDescent="0.25">
      <c r="A511" s="2"/>
    </row>
    <row r="512" spans="1:1" x14ac:dyDescent="0.25">
      <c r="A512" s="2"/>
    </row>
    <row r="513" spans="1:1" x14ac:dyDescent="0.25">
      <c r="A513" s="2"/>
    </row>
    <row r="514" spans="1:1" x14ac:dyDescent="0.25">
      <c r="A514" s="2"/>
    </row>
    <row r="515" spans="1:1" x14ac:dyDescent="0.25">
      <c r="A515" s="2"/>
    </row>
    <row r="516" spans="1:1" x14ac:dyDescent="0.25">
      <c r="A516" s="2"/>
    </row>
    <row r="517" spans="1:1" x14ac:dyDescent="0.25">
      <c r="A517" s="2"/>
    </row>
    <row r="518" spans="1:1" x14ac:dyDescent="0.25">
      <c r="A518" s="2"/>
    </row>
    <row r="519" spans="1:1" x14ac:dyDescent="0.25">
      <c r="A519" s="2"/>
    </row>
    <row r="520" spans="1:1" x14ac:dyDescent="0.25">
      <c r="A520" s="2"/>
    </row>
    <row r="521" spans="1:1" x14ac:dyDescent="0.25">
      <c r="A521" s="2"/>
    </row>
    <row r="522" spans="1:1" x14ac:dyDescent="0.25">
      <c r="A522" s="2"/>
    </row>
    <row r="523" spans="1:1" x14ac:dyDescent="0.25">
      <c r="A523" s="2"/>
    </row>
    <row r="524" spans="1:1" x14ac:dyDescent="0.25">
      <c r="A524" s="2"/>
    </row>
    <row r="525" spans="1:1" x14ac:dyDescent="0.25">
      <c r="A525" s="2"/>
    </row>
    <row r="526" spans="1:1" x14ac:dyDescent="0.25">
      <c r="A526" s="2"/>
    </row>
    <row r="527" spans="1:1" x14ac:dyDescent="0.25">
      <c r="A527" s="2"/>
    </row>
    <row r="528" spans="1:1" x14ac:dyDescent="0.25">
      <c r="A528" s="2"/>
    </row>
    <row r="529" spans="1:1" x14ac:dyDescent="0.25">
      <c r="A529" s="2"/>
    </row>
    <row r="530" spans="1:1" x14ac:dyDescent="0.25">
      <c r="A530" s="2"/>
    </row>
    <row r="531" spans="1:1" x14ac:dyDescent="0.25">
      <c r="A531" s="2"/>
    </row>
    <row r="532" spans="1:1" x14ac:dyDescent="0.25">
      <c r="A532" s="2"/>
    </row>
    <row r="533" spans="1:1" x14ac:dyDescent="0.25">
      <c r="A533" s="2"/>
    </row>
    <row r="534" spans="1:1" x14ac:dyDescent="0.25">
      <c r="A534" s="2"/>
    </row>
    <row r="535" spans="1:1" x14ac:dyDescent="0.25">
      <c r="A535" s="2"/>
    </row>
    <row r="536" spans="1:1" x14ac:dyDescent="0.25">
      <c r="A536" s="2"/>
    </row>
    <row r="537" spans="1:1" x14ac:dyDescent="0.25">
      <c r="A537" s="2"/>
    </row>
    <row r="538" spans="1:1" x14ac:dyDescent="0.25">
      <c r="A538" s="2"/>
    </row>
    <row r="539" spans="1:1" x14ac:dyDescent="0.25">
      <c r="A539" s="2"/>
    </row>
    <row r="540" spans="1:1" x14ac:dyDescent="0.25">
      <c r="A540" s="2"/>
    </row>
    <row r="541" spans="1:1" x14ac:dyDescent="0.25">
      <c r="A541" s="2"/>
    </row>
    <row r="542" spans="1:1" x14ac:dyDescent="0.25">
      <c r="A542" s="2"/>
    </row>
    <row r="543" spans="1:1" x14ac:dyDescent="0.25">
      <c r="A543" s="2"/>
    </row>
    <row r="544" spans="1:1" x14ac:dyDescent="0.25">
      <c r="A544" s="2"/>
    </row>
    <row r="545" spans="1:1" x14ac:dyDescent="0.25">
      <c r="A545" s="2"/>
    </row>
    <row r="546" spans="1:1" x14ac:dyDescent="0.25">
      <c r="A546" s="2"/>
    </row>
    <row r="547" spans="1:1" x14ac:dyDescent="0.25">
      <c r="A547" s="2"/>
    </row>
    <row r="548" spans="1:1" x14ac:dyDescent="0.25">
      <c r="A548" s="2"/>
    </row>
    <row r="549" spans="1:1" x14ac:dyDescent="0.25">
      <c r="A549" s="2"/>
    </row>
    <row r="550" spans="1:1" x14ac:dyDescent="0.25">
      <c r="A550" s="2"/>
    </row>
    <row r="551" spans="1:1" x14ac:dyDescent="0.25">
      <c r="A551" s="2"/>
    </row>
    <row r="552" spans="1:1" x14ac:dyDescent="0.25">
      <c r="A552" s="2"/>
    </row>
    <row r="553" spans="1:1" x14ac:dyDescent="0.25">
      <c r="A553" s="2"/>
    </row>
    <row r="554" spans="1:1" x14ac:dyDescent="0.25">
      <c r="A554" s="2"/>
    </row>
    <row r="555" spans="1:1" x14ac:dyDescent="0.25">
      <c r="A555" s="2"/>
    </row>
    <row r="556" spans="1:1" x14ac:dyDescent="0.25">
      <c r="A556" s="2"/>
    </row>
    <row r="557" spans="1:1" x14ac:dyDescent="0.25">
      <c r="A557" s="2"/>
    </row>
    <row r="558" spans="1:1" x14ac:dyDescent="0.25">
      <c r="A558" s="2"/>
    </row>
    <row r="559" spans="1:1" x14ac:dyDescent="0.25">
      <c r="A559" s="2"/>
    </row>
    <row r="560" spans="1:1" x14ac:dyDescent="0.25">
      <c r="A560" s="2"/>
    </row>
    <row r="561" spans="1:1" x14ac:dyDescent="0.25">
      <c r="A561" s="2"/>
    </row>
    <row r="562" spans="1:1" x14ac:dyDescent="0.25">
      <c r="A562" s="2"/>
    </row>
    <row r="563" spans="1:1" x14ac:dyDescent="0.25">
      <c r="A563" s="2"/>
    </row>
    <row r="564" spans="1:1" x14ac:dyDescent="0.25">
      <c r="A564" s="2"/>
    </row>
    <row r="565" spans="1:1" x14ac:dyDescent="0.25">
      <c r="A565" s="2"/>
    </row>
    <row r="566" spans="1:1" x14ac:dyDescent="0.25">
      <c r="A566" s="2"/>
    </row>
    <row r="567" spans="1:1" x14ac:dyDescent="0.25">
      <c r="A567" s="2"/>
    </row>
    <row r="568" spans="1:1" x14ac:dyDescent="0.25">
      <c r="A568" s="2"/>
    </row>
    <row r="569" spans="1:1" x14ac:dyDescent="0.25">
      <c r="A569" s="2"/>
    </row>
    <row r="570" spans="1:1" x14ac:dyDescent="0.25">
      <c r="A570" s="2"/>
    </row>
    <row r="571" spans="1:1" x14ac:dyDescent="0.25">
      <c r="A571" s="2"/>
    </row>
    <row r="572" spans="1:1" x14ac:dyDescent="0.25">
      <c r="A572" s="2"/>
    </row>
    <row r="573" spans="1:1" x14ac:dyDescent="0.25">
      <c r="A573" s="2"/>
    </row>
    <row r="574" spans="1:1" x14ac:dyDescent="0.25">
      <c r="A574" s="2"/>
    </row>
    <row r="575" spans="1:1" x14ac:dyDescent="0.25">
      <c r="A575" s="2"/>
    </row>
    <row r="576" spans="1:1" x14ac:dyDescent="0.25">
      <c r="A576" s="2"/>
    </row>
    <row r="577" spans="1:1" x14ac:dyDescent="0.25">
      <c r="A577" s="2"/>
    </row>
    <row r="578" spans="1:1" x14ac:dyDescent="0.25">
      <c r="A578" s="2"/>
    </row>
    <row r="579" spans="1:1" x14ac:dyDescent="0.25">
      <c r="A579" s="2"/>
    </row>
    <row r="580" spans="1:1" x14ac:dyDescent="0.25">
      <c r="A580" s="2"/>
    </row>
    <row r="581" spans="1:1" x14ac:dyDescent="0.25">
      <c r="A581" s="2"/>
    </row>
    <row r="582" spans="1:1" x14ac:dyDescent="0.25">
      <c r="A582" s="2"/>
    </row>
    <row r="583" spans="1:1" x14ac:dyDescent="0.25">
      <c r="A583" s="2"/>
    </row>
    <row r="584" spans="1:1" x14ac:dyDescent="0.25">
      <c r="A584" s="2"/>
    </row>
    <row r="585" spans="1:1" x14ac:dyDescent="0.25">
      <c r="A585" s="2"/>
    </row>
    <row r="586" spans="1:1" x14ac:dyDescent="0.25">
      <c r="A586" s="2"/>
    </row>
    <row r="587" spans="1:1" x14ac:dyDescent="0.25">
      <c r="A587" s="2"/>
    </row>
    <row r="588" spans="1:1" x14ac:dyDescent="0.25">
      <c r="A588" s="2"/>
    </row>
    <row r="589" spans="1:1" x14ac:dyDescent="0.25">
      <c r="A589" s="2"/>
    </row>
    <row r="590" spans="1:1" x14ac:dyDescent="0.25">
      <c r="A590" s="2"/>
    </row>
    <row r="591" spans="1:1" x14ac:dyDescent="0.25">
      <c r="A591" s="2"/>
    </row>
    <row r="592" spans="1:1" x14ac:dyDescent="0.25">
      <c r="A592" s="2"/>
    </row>
    <row r="593" spans="1:1" x14ac:dyDescent="0.25">
      <c r="A593" s="2"/>
    </row>
    <row r="594" spans="1:1" x14ac:dyDescent="0.25">
      <c r="A594" s="2"/>
    </row>
    <row r="595" spans="1:1" x14ac:dyDescent="0.25">
      <c r="A595" s="2"/>
    </row>
    <row r="596" spans="1:1" x14ac:dyDescent="0.25">
      <c r="A596" s="2"/>
    </row>
    <row r="597" spans="1:1" x14ac:dyDescent="0.25">
      <c r="A597" s="2"/>
    </row>
    <row r="598" spans="1:1" x14ac:dyDescent="0.25">
      <c r="A598" s="2"/>
    </row>
    <row r="599" spans="1:1" x14ac:dyDescent="0.25">
      <c r="A599" s="2"/>
    </row>
    <row r="600" spans="1:1" x14ac:dyDescent="0.25">
      <c r="A600" s="2"/>
    </row>
    <row r="601" spans="1:1" x14ac:dyDescent="0.25">
      <c r="A601" s="2"/>
    </row>
    <row r="602" spans="1:1" x14ac:dyDescent="0.25">
      <c r="A602" s="2"/>
    </row>
    <row r="603" spans="1:1" x14ac:dyDescent="0.25">
      <c r="A603" s="2"/>
    </row>
    <row r="604" spans="1:1" x14ac:dyDescent="0.25">
      <c r="A604" s="2"/>
    </row>
    <row r="605" spans="1:1" x14ac:dyDescent="0.25">
      <c r="A605" s="2"/>
    </row>
    <row r="606" spans="1:1" x14ac:dyDescent="0.25">
      <c r="A606" s="2"/>
    </row>
    <row r="607" spans="1:1" x14ac:dyDescent="0.25">
      <c r="A607" s="2"/>
    </row>
    <row r="608" spans="1:1" x14ac:dyDescent="0.25">
      <c r="A608" s="2"/>
    </row>
    <row r="609" spans="1:1" x14ac:dyDescent="0.25">
      <c r="A609" s="2"/>
    </row>
    <row r="610" spans="1:1" x14ac:dyDescent="0.25">
      <c r="A610" s="2"/>
    </row>
    <row r="611" spans="1:1" x14ac:dyDescent="0.25">
      <c r="A611" s="2"/>
    </row>
    <row r="612" spans="1:1" x14ac:dyDescent="0.25">
      <c r="A612" s="2"/>
    </row>
    <row r="613" spans="1:1" x14ac:dyDescent="0.25">
      <c r="A613" s="2"/>
    </row>
    <row r="614" spans="1:1" x14ac:dyDescent="0.25">
      <c r="A614" s="2"/>
    </row>
    <row r="615" spans="1:1" x14ac:dyDescent="0.25">
      <c r="A615" s="2"/>
    </row>
    <row r="616" spans="1:1" x14ac:dyDescent="0.25">
      <c r="A616" s="2"/>
    </row>
    <row r="617" spans="1:1" x14ac:dyDescent="0.25">
      <c r="A617" s="2"/>
    </row>
    <row r="618" spans="1:1" x14ac:dyDescent="0.25">
      <c r="A618" s="2"/>
    </row>
    <row r="619" spans="1:1" x14ac:dyDescent="0.25">
      <c r="A619" s="2"/>
    </row>
    <row r="620" spans="1:1" x14ac:dyDescent="0.25">
      <c r="A620" s="2"/>
    </row>
    <row r="621" spans="1:1" x14ac:dyDescent="0.25">
      <c r="A621" s="2"/>
    </row>
    <row r="622" spans="1:1" x14ac:dyDescent="0.25">
      <c r="A622" s="2"/>
    </row>
    <row r="623" spans="1:1" x14ac:dyDescent="0.25">
      <c r="A623" s="2"/>
    </row>
    <row r="624" spans="1:1" x14ac:dyDescent="0.25">
      <c r="A624" s="2"/>
    </row>
    <row r="625" spans="1:1" x14ac:dyDescent="0.25">
      <c r="A625" s="2"/>
    </row>
    <row r="626" spans="1:1" x14ac:dyDescent="0.25">
      <c r="A626" s="2"/>
    </row>
    <row r="627" spans="1:1" x14ac:dyDescent="0.25">
      <c r="A627" s="2"/>
    </row>
    <row r="628" spans="1:1" x14ac:dyDescent="0.25">
      <c r="A628" s="2"/>
    </row>
    <row r="629" spans="1:1" x14ac:dyDescent="0.25">
      <c r="A629" s="2"/>
    </row>
    <row r="630" spans="1:1" x14ac:dyDescent="0.25">
      <c r="A630" s="2"/>
    </row>
    <row r="631" spans="1:1" x14ac:dyDescent="0.25">
      <c r="A631" s="2"/>
    </row>
    <row r="632" spans="1:1" x14ac:dyDescent="0.25">
      <c r="A632" s="2"/>
    </row>
    <row r="633" spans="1:1" x14ac:dyDescent="0.25">
      <c r="A633" s="2"/>
    </row>
    <row r="634" spans="1:1" x14ac:dyDescent="0.25">
      <c r="A634" s="2"/>
    </row>
    <row r="635" spans="1:1" x14ac:dyDescent="0.25">
      <c r="A635" s="2"/>
    </row>
    <row r="636" spans="1:1" x14ac:dyDescent="0.25">
      <c r="A636" s="2"/>
    </row>
    <row r="637" spans="1:1" x14ac:dyDescent="0.25">
      <c r="A637" s="2"/>
    </row>
    <row r="638" spans="1:1" x14ac:dyDescent="0.25">
      <c r="A638" s="2"/>
    </row>
    <row r="639" spans="1:1" x14ac:dyDescent="0.25">
      <c r="A639" s="2"/>
    </row>
    <row r="640" spans="1:1" x14ac:dyDescent="0.25">
      <c r="A640" s="2"/>
    </row>
    <row r="641" spans="1:1" x14ac:dyDescent="0.25">
      <c r="A641" s="2"/>
    </row>
    <row r="642" spans="1:1" x14ac:dyDescent="0.25">
      <c r="A642" s="2"/>
    </row>
    <row r="643" spans="1:1" x14ac:dyDescent="0.25">
      <c r="A643" s="2"/>
    </row>
    <row r="644" spans="1:1" x14ac:dyDescent="0.25">
      <c r="A644" s="2"/>
    </row>
    <row r="645" spans="1:1" x14ac:dyDescent="0.25">
      <c r="A645" s="2"/>
    </row>
    <row r="646" spans="1:1" x14ac:dyDescent="0.25">
      <c r="A646" s="2"/>
    </row>
    <row r="647" spans="1:1" x14ac:dyDescent="0.25">
      <c r="A647" s="2"/>
    </row>
    <row r="648" spans="1:1" x14ac:dyDescent="0.25">
      <c r="A648" s="2"/>
    </row>
    <row r="649" spans="1:1" x14ac:dyDescent="0.25">
      <c r="A649" s="2"/>
    </row>
    <row r="650" spans="1:1" x14ac:dyDescent="0.25">
      <c r="A650" s="2"/>
    </row>
    <row r="651" spans="1:1" x14ac:dyDescent="0.25">
      <c r="A651" s="2"/>
    </row>
    <row r="652" spans="1:1" x14ac:dyDescent="0.25">
      <c r="A652" s="2"/>
    </row>
    <row r="653" spans="1:1" x14ac:dyDescent="0.25">
      <c r="A653" s="2"/>
    </row>
    <row r="654" spans="1:1" x14ac:dyDescent="0.25">
      <c r="A654" s="2"/>
    </row>
    <row r="655" spans="1:1" x14ac:dyDescent="0.25">
      <c r="A655" s="2"/>
    </row>
    <row r="656" spans="1:1" x14ac:dyDescent="0.25">
      <c r="A656" s="2"/>
    </row>
    <row r="657" spans="1:1" x14ac:dyDescent="0.25">
      <c r="A657" s="2"/>
    </row>
    <row r="658" spans="1:1" x14ac:dyDescent="0.25">
      <c r="A658" s="2"/>
    </row>
    <row r="659" spans="1:1" x14ac:dyDescent="0.25">
      <c r="A659" s="2"/>
    </row>
    <row r="660" spans="1:1" x14ac:dyDescent="0.25">
      <c r="A660" s="2"/>
    </row>
    <row r="661" spans="1:1" x14ac:dyDescent="0.25">
      <c r="A661" s="2"/>
    </row>
    <row r="662" spans="1:1" x14ac:dyDescent="0.25">
      <c r="A662" s="2"/>
    </row>
    <row r="663" spans="1:1" x14ac:dyDescent="0.25">
      <c r="A663" s="2"/>
    </row>
    <row r="664" spans="1:1" x14ac:dyDescent="0.25">
      <c r="A664" s="2"/>
    </row>
    <row r="665" spans="1:1" x14ac:dyDescent="0.25">
      <c r="A665" s="2"/>
    </row>
    <row r="666" spans="1:1" x14ac:dyDescent="0.25">
      <c r="A666" s="2"/>
    </row>
    <row r="667" spans="1:1" x14ac:dyDescent="0.25">
      <c r="A667" s="2"/>
    </row>
    <row r="668" spans="1:1" x14ac:dyDescent="0.25">
      <c r="A668" s="2"/>
    </row>
    <row r="669" spans="1:1" x14ac:dyDescent="0.25">
      <c r="A669" s="2"/>
    </row>
    <row r="670" spans="1:1" x14ac:dyDescent="0.25">
      <c r="A670" s="2"/>
    </row>
    <row r="671" spans="1:1" x14ac:dyDescent="0.25">
      <c r="A671" s="2"/>
    </row>
    <row r="672" spans="1:1" x14ac:dyDescent="0.25">
      <c r="A672" s="2"/>
    </row>
    <row r="673" spans="1:1" x14ac:dyDescent="0.25">
      <c r="A673" s="2"/>
    </row>
    <row r="674" spans="1:1" x14ac:dyDescent="0.25">
      <c r="A674" s="2"/>
    </row>
    <row r="675" spans="1:1" x14ac:dyDescent="0.25">
      <c r="A675" s="2"/>
    </row>
    <row r="676" spans="1:1" x14ac:dyDescent="0.25">
      <c r="A676" s="2"/>
    </row>
    <row r="677" spans="1:1" x14ac:dyDescent="0.25">
      <c r="A677" s="2"/>
    </row>
    <row r="678" spans="1:1" x14ac:dyDescent="0.25">
      <c r="A678" s="2"/>
    </row>
    <row r="679" spans="1:1" x14ac:dyDescent="0.25">
      <c r="A679" s="2"/>
    </row>
    <row r="680" spans="1:1" x14ac:dyDescent="0.25">
      <c r="A680" s="2"/>
    </row>
    <row r="681" spans="1:1" x14ac:dyDescent="0.25">
      <c r="A681" s="2"/>
    </row>
    <row r="682" spans="1:1" x14ac:dyDescent="0.25">
      <c r="A682" s="2"/>
    </row>
    <row r="683" spans="1:1" x14ac:dyDescent="0.25">
      <c r="A683" s="2"/>
    </row>
    <row r="684" spans="1:1" x14ac:dyDescent="0.25">
      <c r="A684" s="2"/>
    </row>
    <row r="685" spans="1:1" x14ac:dyDescent="0.25">
      <c r="A685" s="2"/>
    </row>
    <row r="686" spans="1:1" x14ac:dyDescent="0.25">
      <c r="A686" s="2"/>
    </row>
    <row r="687" spans="1:1" x14ac:dyDescent="0.25">
      <c r="A687" s="2"/>
    </row>
    <row r="688" spans="1:1" x14ac:dyDescent="0.25">
      <c r="A688" s="2"/>
    </row>
    <row r="689" spans="1:1" x14ac:dyDescent="0.25">
      <c r="A689" s="2"/>
    </row>
    <row r="690" spans="1:1" x14ac:dyDescent="0.25">
      <c r="A690" s="2"/>
    </row>
    <row r="691" spans="1:1" x14ac:dyDescent="0.25">
      <c r="A691" s="2"/>
    </row>
    <row r="692" spans="1:1" x14ac:dyDescent="0.25">
      <c r="A692" s="2"/>
    </row>
    <row r="693" spans="1:1" x14ac:dyDescent="0.25">
      <c r="A693" s="2"/>
    </row>
    <row r="694" spans="1:1" x14ac:dyDescent="0.25">
      <c r="A694" s="2"/>
    </row>
    <row r="695" spans="1:1" x14ac:dyDescent="0.25">
      <c r="A695" s="2"/>
    </row>
    <row r="696" spans="1:1" x14ac:dyDescent="0.25">
      <c r="A696" s="2"/>
    </row>
    <row r="697" spans="1:1" x14ac:dyDescent="0.25">
      <c r="A697" s="2"/>
    </row>
    <row r="698" spans="1:1" x14ac:dyDescent="0.25">
      <c r="A698" s="2"/>
    </row>
    <row r="699" spans="1:1" x14ac:dyDescent="0.25">
      <c r="A699" s="2"/>
    </row>
    <row r="700" spans="1:1" x14ac:dyDescent="0.25">
      <c r="A700" s="2"/>
    </row>
    <row r="701" spans="1:1" x14ac:dyDescent="0.25">
      <c r="A701" s="2"/>
    </row>
    <row r="702" spans="1:1" x14ac:dyDescent="0.25">
      <c r="A702" s="2"/>
    </row>
    <row r="703" spans="1:1" x14ac:dyDescent="0.25">
      <c r="A703" s="2"/>
    </row>
    <row r="704" spans="1:1" x14ac:dyDescent="0.25">
      <c r="A704" s="2"/>
    </row>
    <row r="705" spans="1:1" x14ac:dyDescent="0.25">
      <c r="A705" s="2"/>
    </row>
    <row r="706" spans="1:1" x14ac:dyDescent="0.25">
      <c r="A706" s="2"/>
    </row>
    <row r="707" spans="1:1" x14ac:dyDescent="0.25">
      <c r="A707" s="2"/>
    </row>
    <row r="708" spans="1:1" x14ac:dyDescent="0.25">
      <c r="A708" s="2"/>
    </row>
    <row r="709" spans="1:1" x14ac:dyDescent="0.25">
      <c r="A709" s="2"/>
    </row>
    <row r="710" spans="1:1" x14ac:dyDescent="0.25">
      <c r="A710" s="2"/>
    </row>
    <row r="711" spans="1:1" x14ac:dyDescent="0.25">
      <c r="A711" s="2"/>
    </row>
    <row r="712" spans="1:1" x14ac:dyDescent="0.25">
      <c r="A712" s="2"/>
    </row>
    <row r="713" spans="1:1" x14ac:dyDescent="0.25">
      <c r="A713" s="2"/>
    </row>
    <row r="714" spans="1:1" x14ac:dyDescent="0.25">
      <c r="A714" s="2"/>
    </row>
    <row r="715" spans="1:1" x14ac:dyDescent="0.25">
      <c r="A715" s="2"/>
    </row>
    <row r="716" spans="1:1" x14ac:dyDescent="0.25">
      <c r="A716" s="2"/>
    </row>
    <row r="717" spans="1:1" x14ac:dyDescent="0.25">
      <c r="A717" s="2"/>
    </row>
    <row r="718" spans="1:1" x14ac:dyDescent="0.25">
      <c r="A718" s="2"/>
    </row>
    <row r="719" spans="1:1" x14ac:dyDescent="0.25">
      <c r="A719" s="2"/>
    </row>
    <row r="720" spans="1:1" x14ac:dyDescent="0.25">
      <c r="A720" s="2"/>
    </row>
    <row r="721" spans="1:1" x14ac:dyDescent="0.25">
      <c r="A721" s="2"/>
    </row>
    <row r="722" spans="1:1" x14ac:dyDescent="0.25">
      <c r="A722" s="2"/>
    </row>
    <row r="723" spans="1:1" x14ac:dyDescent="0.25">
      <c r="A723" s="2"/>
    </row>
    <row r="724" spans="1:1" x14ac:dyDescent="0.25">
      <c r="A724" s="2"/>
    </row>
    <row r="725" spans="1:1" x14ac:dyDescent="0.25">
      <c r="A725" s="2"/>
    </row>
    <row r="726" spans="1:1" x14ac:dyDescent="0.25">
      <c r="A726" s="2"/>
    </row>
    <row r="727" spans="1:1" x14ac:dyDescent="0.25">
      <c r="A727" s="2"/>
    </row>
    <row r="728" spans="1:1" x14ac:dyDescent="0.25">
      <c r="A728" s="2"/>
    </row>
    <row r="729" spans="1:1" x14ac:dyDescent="0.25">
      <c r="A729" s="2"/>
    </row>
    <row r="730" spans="1:1" x14ac:dyDescent="0.25">
      <c r="A730" s="2"/>
    </row>
    <row r="731" spans="1:1" x14ac:dyDescent="0.25">
      <c r="A731" s="2"/>
    </row>
    <row r="732" spans="1:1" x14ac:dyDescent="0.25">
      <c r="A732" s="2"/>
    </row>
    <row r="733" spans="1:1" x14ac:dyDescent="0.25">
      <c r="A733" s="2"/>
    </row>
    <row r="734" spans="1:1" x14ac:dyDescent="0.25">
      <c r="A734" s="2"/>
    </row>
    <row r="735" spans="1:1" x14ac:dyDescent="0.25">
      <c r="A735" s="2"/>
    </row>
    <row r="736" spans="1:1" x14ac:dyDescent="0.25">
      <c r="A736" s="2"/>
    </row>
    <row r="737" spans="1:1" x14ac:dyDescent="0.25">
      <c r="A737" s="2"/>
    </row>
    <row r="738" spans="1:1" x14ac:dyDescent="0.25">
      <c r="A738" s="2"/>
    </row>
    <row r="739" spans="1:1" x14ac:dyDescent="0.25">
      <c r="A739" s="2"/>
    </row>
    <row r="740" spans="1:1" x14ac:dyDescent="0.25">
      <c r="A740" s="2"/>
    </row>
    <row r="741" spans="1:1" x14ac:dyDescent="0.25">
      <c r="A741" s="2"/>
    </row>
    <row r="742" spans="1:1" x14ac:dyDescent="0.25">
      <c r="A742" s="2"/>
    </row>
    <row r="743" spans="1:1" x14ac:dyDescent="0.25">
      <c r="A743" s="2"/>
    </row>
    <row r="744" spans="1:1" x14ac:dyDescent="0.25">
      <c r="A744" s="2"/>
    </row>
    <row r="745" spans="1:1" x14ac:dyDescent="0.25">
      <c r="A745" s="2"/>
    </row>
    <row r="746" spans="1:1" x14ac:dyDescent="0.25">
      <c r="A746" s="2"/>
    </row>
    <row r="747" spans="1:1" x14ac:dyDescent="0.25">
      <c r="A747" s="2"/>
    </row>
    <row r="748" spans="1:1" x14ac:dyDescent="0.25">
      <c r="A748" s="2"/>
    </row>
    <row r="749" spans="1:1" x14ac:dyDescent="0.25">
      <c r="A749" s="2"/>
    </row>
    <row r="750" spans="1:1" x14ac:dyDescent="0.25">
      <c r="A750" s="2"/>
    </row>
    <row r="751" spans="1:1" x14ac:dyDescent="0.25">
      <c r="A751" s="2"/>
    </row>
    <row r="752" spans="1:1" x14ac:dyDescent="0.25">
      <c r="A752" s="2"/>
    </row>
    <row r="753" spans="1:1" x14ac:dyDescent="0.25">
      <c r="A753" s="2"/>
    </row>
    <row r="754" spans="1:1" x14ac:dyDescent="0.25">
      <c r="A754" s="2"/>
    </row>
    <row r="755" spans="1:1" x14ac:dyDescent="0.25">
      <c r="A755" s="2"/>
    </row>
    <row r="756" spans="1:1" x14ac:dyDescent="0.25">
      <c r="A756" s="2"/>
    </row>
    <row r="757" spans="1:1" x14ac:dyDescent="0.25">
      <c r="A757" s="2"/>
    </row>
    <row r="758" spans="1:1" x14ac:dyDescent="0.25">
      <c r="A758" s="2"/>
    </row>
    <row r="759" spans="1:1" x14ac:dyDescent="0.25">
      <c r="A759" s="2"/>
    </row>
    <row r="760" spans="1:1" x14ac:dyDescent="0.25">
      <c r="A760" s="2"/>
    </row>
    <row r="761" spans="1:1" x14ac:dyDescent="0.25">
      <c r="A761" s="2"/>
    </row>
    <row r="762" spans="1:1" x14ac:dyDescent="0.25">
      <c r="A762" s="2"/>
    </row>
    <row r="763" spans="1:1" x14ac:dyDescent="0.25">
      <c r="A763" s="2"/>
    </row>
    <row r="764" spans="1:1" x14ac:dyDescent="0.25">
      <c r="A764" s="2"/>
    </row>
    <row r="765" spans="1:1" x14ac:dyDescent="0.25">
      <c r="A765" s="2"/>
    </row>
    <row r="766" spans="1:1" x14ac:dyDescent="0.25">
      <c r="A766" s="2"/>
    </row>
    <row r="767" spans="1:1" x14ac:dyDescent="0.25">
      <c r="A767" s="2"/>
    </row>
    <row r="768" spans="1:1" x14ac:dyDescent="0.25">
      <c r="A768" s="2"/>
    </row>
    <row r="769" spans="1:1" x14ac:dyDescent="0.25">
      <c r="A769" s="2"/>
    </row>
    <row r="770" spans="1:1" x14ac:dyDescent="0.25">
      <c r="A770" s="2"/>
    </row>
    <row r="771" spans="1:1" x14ac:dyDescent="0.25">
      <c r="A771" s="2"/>
    </row>
    <row r="772" spans="1:1" x14ac:dyDescent="0.25">
      <c r="A772" s="2"/>
    </row>
    <row r="773" spans="1:1" x14ac:dyDescent="0.25">
      <c r="A773" s="2"/>
    </row>
    <row r="774" spans="1:1" x14ac:dyDescent="0.25">
      <c r="A774" s="2"/>
    </row>
    <row r="775" spans="1:1" x14ac:dyDescent="0.25">
      <c r="A775" s="2"/>
    </row>
    <row r="776" spans="1:1" x14ac:dyDescent="0.25">
      <c r="A776" s="2"/>
    </row>
    <row r="777" spans="1:1" x14ac:dyDescent="0.25">
      <c r="A777" s="2"/>
    </row>
    <row r="778" spans="1:1" x14ac:dyDescent="0.25">
      <c r="A778" s="2"/>
    </row>
    <row r="779" spans="1:1" x14ac:dyDescent="0.25">
      <c r="A779" s="2"/>
    </row>
    <row r="780" spans="1:1" x14ac:dyDescent="0.25">
      <c r="A780" s="2"/>
    </row>
    <row r="781" spans="1:1" x14ac:dyDescent="0.25">
      <c r="A781" s="2"/>
    </row>
    <row r="782" spans="1:1" x14ac:dyDescent="0.25">
      <c r="A782" s="2"/>
    </row>
    <row r="783" spans="1:1" x14ac:dyDescent="0.25">
      <c r="A783" s="2"/>
    </row>
    <row r="784" spans="1:1" x14ac:dyDescent="0.25">
      <c r="A784" s="2"/>
    </row>
    <row r="785" spans="1:1" x14ac:dyDescent="0.25">
      <c r="A785" s="2"/>
    </row>
    <row r="786" spans="1:1" x14ac:dyDescent="0.25">
      <c r="A786" s="2"/>
    </row>
    <row r="787" spans="1:1" x14ac:dyDescent="0.25">
      <c r="A787" s="2"/>
    </row>
    <row r="788" spans="1:1" x14ac:dyDescent="0.25">
      <c r="A788" s="2"/>
    </row>
    <row r="789" spans="1:1" x14ac:dyDescent="0.25">
      <c r="A789" s="2"/>
    </row>
    <row r="790" spans="1:1" x14ac:dyDescent="0.25">
      <c r="A790" s="2"/>
    </row>
    <row r="791" spans="1:1" x14ac:dyDescent="0.25">
      <c r="A791" s="2"/>
    </row>
    <row r="792" spans="1:1" x14ac:dyDescent="0.25">
      <c r="A792" s="2"/>
    </row>
    <row r="793" spans="1:1" x14ac:dyDescent="0.25">
      <c r="A793" s="2"/>
    </row>
    <row r="794" spans="1:1" x14ac:dyDescent="0.25">
      <c r="A794" s="2"/>
    </row>
    <row r="795" spans="1:1" x14ac:dyDescent="0.25">
      <c r="A795" s="2"/>
    </row>
    <row r="796" spans="1:1" x14ac:dyDescent="0.25">
      <c r="A796" s="2"/>
    </row>
    <row r="797" spans="1:1" x14ac:dyDescent="0.25">
      <c r="A797" s="2"/>
    </row>
    <row r="798" spans="1:1" x14ac:dyDescent="0.25">
      <c r="A798" s="2"/>
    </row>
    <row r="799" spans="1:1" x14ac:dyDescent="0.25">
      <c r="A799" s="2"/>
    </row>
    <row r="800" spans="1:1" x14ac:dyDescent="0.25">
      <c r="A800" s="2"/>
    </row>
    <row r="801" spans="1:1" x14ac:dyDescent="0.25">
      <c r="A801" s="2"/>
    </row>
    <row r="802" spans="1:1" x14ac:dyDescent="0.25">
      <c r="A802" s="2"/>
    </row>
    <row r="803" spans="1:1" x14ac:dyDescent="0.25">
      <c r="A803" s="2"/>
    </row>
    <row r="804" spans="1:1" x14ac:dyDescent="0.25">
      <c r="A804" s="2"/>
    </row>
    <row r="805" spans="1:1" x14ac:dyDescent="0.25">
      <c r="A805" s="2"/>
    </row>
    <row r="806" spans="1:1" x14ac:dyDescent="0.25">
      <c r="A806" s="2"/>
    </row>
    <row r="807" spans="1:1" x14ac:dyDescent="0.25">
      <c r="A807" s="2"/>
    </row>
    <row r="808" spans="1:1" x14ac:dyDescent="0.25">
      <c r="A808" s="2"/>
    </row>
    <row r="809" spans="1:1" x14ac:dyDescent="0.25">
      <c r="A809" s="2"/>
    </row>
    <row r="810" spans="1:1" x14ac:dyDescent="0.25">
      <c r="A810" s="2"/>
    </row>
    <row r="811" spans="1:1" x14ac:dyDescent="0.25">
      <c r="A811" s="2"/>
    </row>
    <row r="812" spans="1:1" x14ac:dyDescent="0.25">
      <c r="A812" s="2"/>
    </row>
    <row r="813" spans="1:1" x14ac:dyDescent="0.25">
      <c r="A813" s="2"/>
    </row>
    <row r="814" spans="1:1" x14ac:dyDescent="0.25">
      <c r="A814" s="2"/>
    </row>
    <row r="815" spans="1:1" x14ac:dyDescent="0.25">
      <c r="A815" s="2"/>
    </row>
    <row r="816" spans="1:1" x14ac:dyDescent="0.25">
      <c r="A816" s="2"/>
    </row>
    <row r="817" spans="1:1" x14ac:dyDescent="0.25">
      <c r="A817" s="2"/>
    </row>
    <row r="818" spans="1:1" x14ac:dyDescent="0.25">
      <c r="A818" s="2"/>
    </row>
    <row r="819" spans="1:1" x14ac:dyDescent="0.25">
      <c r="A819" s="2"/>
    </row>
    <row r="820" spans="1:1" x14ac:dyDescent="0.25">
      <c r="A820" s="2"/>
    </row>
    <row r="821" spans="1:1" x14ac:dyDescent="0.25">
      <c r="A821" s="2"/>
    </row>
    <row r="822" spans="1:1" x14ac:dyDescent="0.25">
      <c r="A822" s="2"/>
    </row>
    <row r="823" spans="1:1" x14ac:dyDescent="0.25">
      <c r="A823" s="2"/>
    </row>
    <row r="824" spans="1:1" x14ac:dyDescent="0.25">
      <c r="A824" s="2"/>
    </row>
    <row r="825" spans="1:1" x14ac:dyDescent="0.25">
      <c r="A825" s="2"/>
    </row>
    <row r="826" spans="1:1" x14ac:dyDescent="0.25">
      <c r="A826" s="2"/>
    </row>
    <row r="827" spans="1:1" x14ac:dyDescent="0.25">
      <c r="A827" s="2"/>
    </row>
    <row r="828" spans="1:1" x14ac:dyDescent="0.25">
      <c r="A828" s="2"/>
    </row>
    <row r="829" spans="1:1" x14ac:dyDescent="0.25">
      <c r="A829" s="2"/>
    </row>
    <row r="830" spans="1:1" x14ac:dyDescent="0.25">
      <c r="A830" s="2"/>
    </row>
    <row r="831" spans="1:1" x14ac:dyDescent="0.25">
      <c r="A831" s="2"/>
    </row>
    <row r="832" spans="1:1" x14ac:dyDescent="0.25">
      <c r="A832" s="2"/>
    </row>
    <row r="833" spans="1:1" x14ac:dyDescent="0.25">
      <c r="A833" s="2"/>
    </row>
    <row r="834" spans="1:1" x14ac:dyDescent="0.25">
      <c r="A834" s="2"/>
    </row>
    <row r="835" spans="1:1" x14ac:dyDescent="0.25">
      <c r="A835" s="2"/>
    </row>
    <row r="836" spans="1:1" x14ac:dyDescent="0.25">
      <c r="A836" s="2"/>
    </row>
    <row r="837" spans="1:1" x14ac:dyDescent="0.25">
      <c r="A837" s="2"/>
    </row>
    <row r="838" spans="1:1" x14ac:dyDescent="0.25">
      <c r="A838" s="2"/>
    </row>
    <row r="839" spans="1:1" x14ac:dyDescent="0.25">
      <c r="A839" s="2"/>
    </row>
    <row r="840" spans="1:1" x14ac:dyDescent="0.25">
      <c r="A840" s="2"/>
    </row>
    <row r="841" spans="1:1" x14ac:dyDescent="0.25">
      <c r="A841" s="2"/>
    </row>
    <row r="842" spans="1:1" x14ac:dyDescent="0.25">
      <c r="A842" s="2"/>
    </row>
    <row r="843" spans="1:1" x14ac:dyDescent="0.25">
      <c r="A843" s="2"/>
    </row>
    <row r="844" spans="1:1" x14ac:dyDescent="0.25">
      <c r="A844" s="2"/>
    </row>
    <row r="845" spans="1:1" x14ac:dyDescent="0.25">
      <c r="A845" s="2"/>
    </row>
    <row r="846" spans="1:1" x14ac:dyDescent="0.25">
      <c r="A846" s="2"/>
    </row>
    <row r="847" spans="1:1" x14ac:dyDescent="0.25">
      <c r="A847" s="2"/>
    </row>
    <row r="848" spans="1:1" x14ac:dyDescent="0.25">
      <c r="A848" s="2"/>
    </row>
    <row r="849" spans="1:1" x14ac:dyDescent="0.25">
      <c r="A849" s="2"/>
    </row>
    <row r="850" spans="1:1" x14ac:dyDescent="0.25">
      <c r="A850" s="2"/>
    </row>
    <row r="851" spans="1:1" x14ac:dyDescent="0.25">
      <c r="A851" s="2"/>
    </row>
    <row r="852" spans="1:1" x14ac:dyDescent="0.25">
      <c r="A852" s="2"/>
    </row>
    <row r="853" spans="1:1" x14ac:dyDescent="0.25">
      <c r="A853" s="2"/>
    </row>
    <row r="854" spans="1:1" x14ac:dyDescent="0.25">
      <c r="A854" s="2"/>
    </row>
    <row r="855" spans="1:1" x14ac:dyDescent="0.25">
      <c r="A855" s="2"/>
    </row>
    <row r="856" spans="1:1" x14ac:dyDescent="0.25">
      <c r="A856" s="2"/>
    </row>
    <row r="857" spans="1:1" x14ac:dyDescent="0.25">
      <c r="A857" s="2"/>
    </row>
    <row r="858" spans="1:1" x14ac:dyDescent="0.25">
      <c r="A858" s="2"/>
    </row>
    <row r="859" spans="1:1" x14ac:dyDescent="0.25">
      <c r="A859" s="2"/>
    </row>
    <row r="860" spans="1:1" x14ac:dyDescent="0.25">
      <c r="A860" s="2"/>
    </row>
    <row r="861" spans="1:1" x14ac:dyDescent="0.25">
      <c r="A861" s="2"/>
    </row>
    <row r="862" spans="1:1" x14ac:dyDescent="0.25">
      <c r="A862" s="2"/>
    </row>
    <row r="863" spans="1:1" x14ac:dyDescent="0.25">
      <c r="A863" s="2"/>
    </row>
    <row r="864" spans="1:1" x14ac:dyDescent="0.25">
      <c r="A864" s="2"/>
    </row>
    <row r="865" spans="1:1" x14ac:dyDescent="0.25">
      <c r="A865" s="2"/>
    </row>
    <row r="866" spans="1:1" x14ac:dyDescent="0.25">
      <c r="A866" s="2"/>
    </row>
    <row r="867" spans="1:1" x14ac:dyDescent="0.25">
      <c r="A867" s="2"/>
    </row>
    <row r="868" spans="1:1" x14ac:dyDescent="0.25">
      <c r="A868" s="2"/>
    </row>
    <row r="869" spans="1:1" x14ac:dyDescent="0.25">
      <c r="A869" s="2"/>
    </row>
    <row r="870" spans="1:1" x14ac:dyDescent="0.25">
      <c r="A870" s="2"/>
    </row>
    <row r="871" spans="1:1" x14ac:dyDescent="0.25">
      <c r="A871" s="2"/>
    </row>
    <row r="872" spans="1:1" x14ac:dyDescent="0.25">
      <c r="A872" s="2"/>
    </row>
    <row r="873" spans="1:1" x14ac:dyDescent="0.25">
      <c r="A873" s="2"/>
    </row>
    <row r="874" spans="1:1" x14ac:dyDescent="0.25">
      <c r="A874" s="2"/>
    </row>
    <row r="875" spans="1:1" x14ac:dyDescent="0.25">
      <c r="A875" s="2"/>
    </row>
    <row r="876" spans="1:1" x14ac:dyDescent="0.25">
      <c r="A876" s="2"/>
    </row>
    <row r="877" spans="1:1" x14ac:dyDescent="0.25">
      <c r="A877" s="2"/>
    </row>
    <row r="878" spans="1:1" x14ac:dyDescent="0.25">
      <c r="A878" s="2"/>
    </row>
    <row r="879" spans="1:1" x14ac:dyDescent="0.25">
      <c r="A879" s="2"/>
    </row>
    <row r="880" spans="1:1" x14ac:dyDescent="0.25">
      <c r="A880" s="2"/>
    </row>
    <row r="881" spans="1:1" x14ac:dyDescent="0.25">
      <c r="A881" s="2"/>
    </row>
    <row r="882" spans="1:1" x14ac:dyDescent="0.25">
      <c r="A882" s="2"/>
    </row>
    <row r="883" spans="1:1" x14ac:dyDescent="0.25">
      <c r="A883" s="2"/>
    </row>
    <row r="884" spans="1:1" x14ac:dyDescent="0.25">
      <c r="A884" s="2"/>
    </row>
    <row r="885" spans="1:1" x14ac:dyDescent="0.25">
      <c r="A885" s="2"/>
    </row>
    <row r="886" spans="1:1" x14ac:dyDescent="0.25">
      <c r="A886" s="2"/>
    </row>
    <row r="887" spans="1:1" x14ac:dyDescent="0.25">
      <c r="A887" s="2"/>
    </row>
    <row r="888" spans="1:1" x14ac:dyDescent="0.25">
      <c r="A888" s="2"/>
    </row>
    <row r="889" spans="1:1" x14ac:dyDescent="0.25">
      <c r="A889" s="2"/>
    </row>
    <row r="890" spans="1:1" x14ac:dyDescent="0.25">
      <c r="A890" s="2"/>
    </row>
    <row r="891" spans="1:1" x14ac:dyDescent="0.25">
      <c r="A891" s="2"/>
    </row>
    <row r="892" spans="1:1" x14ac:dyDescent="0.25">
      <c r="A892" s="2"/>
    </row>
    <row r="893" spans="1:1" x14ac:dyDescent="0.25">
      <c r="A893" s="2"/>
    </row>
    <row r="894" spans="1:1" x14ac:dyDescent="0.25">
      <c r="A894" s="2"/>
    </row>
    <row r="895" spans="1:1" x14ac:dyDescent="0.25">
      <c r="A895" s="2"/>
    </row>
    <row r="896" spans="1:1" x14ac:dyDescent="0.25">
      <c r="A896" s="2"/>
    </row>
    <row r="897" spans="1:1" x14ac:dyDescent="0.25">
      <c r="A897" s="2"/>
    </row>
    <row r="898" spans="1:1" x14ac:dyDescent="0.25">
      <c r="A898" s="2"/>
    </row>
    <row r="899" spans="1:1" x14ac:dyDescent="0.25">
      <c r="A899" s="2"/>
    </row>
    <row r="900" spans="1:1" x14ac:dyDescent="0.25">
      <c r="A900" s="2"/>
    </row>
    <row r="901" spans="1:1" x14ac:dyDescent="0.25">
      <c r="A901" s="2"/>
    </row>
    <row r="902" spans="1:1" x14ac:dyDescent="0.25">
      <c r="A902" s="2"/>
    </row>
    <row r="903" spans="1:1" x14ac:dyDescent="0.25">
      <c r="A903" s="2"/>
    </row>
    <row r="904" spans="1:1" x14ac:dyDescent="0.25">
      <c r="A904" s="2"/>
    </row>
    <row r="905" spans="1:1" x14ac:dyDescent="0.25">
      <c r="A905" s="2"/>
    </row>
    <row r="906" spans="1:1" x14ac:dyDescent="0.25">
      <c r="A906" s="2"/>
    </row>
    <row r="907" spans="1:1" x14ac:dyDescent="0.25">
      <c r="A907" s="2"/>
    </row>
    <row r="908" spans="1:1" x14ac:dyDescent="0.25">
      <c r="A908" s="2"/>
    </row>
    <row r="909" spans="1:1" x14ac:dyDescent="0.25">
      <c r="A909" s="2"/>
    </row>
    <row r="910" spans="1:1" x14ac:dyDescent="0.25">
      <c r="A910" s="2"/>
    </row>
    <row r="911" spans="1:1" x14ac:dyDescent="0.25">
      <c r="A911" s="2"/>
    </row>
    <row r="912" spans="1:1" x14ac:dyDescent="0.25">
      <c r="A912" s="2"/>
    </row>
    <row r="913" spans="1:1" x14ac:dyDescent="0.25">
      <c r="A913" s="2"/>
    </row>
    <row r="914" spans="1:1" x14ac:dyDescent="0.25">
      <c r="A914" s="2"/>
    </row>
    <row r="915" spans="1:1" x14ac:dyDescent="0.25">
      <c r="A915" s="2"/>
    </row>
    <row r="916" spans="1:1" x14ac:dyDescent="0.25">
      <c r="A916" s="2"/>
    </row>
    <row r="917" spans="1:1" x14ac:dyDescent="0.25">
      <c r="A917" s="2"/>
    </row>
    <row r="918" spans="1:1" x14ac:dyDescent="0.25">
      <c r="A918" s="2"/>
    </row>
    <row r="919" spans="1:1" x14ac:dyDescent="0.25">
      <c r="A919" s="2"/>
    </row>
    <row r="920" spans="1:1" x14ac:dyDescent="0.25">
      <c r="A920" s="2"/>
    </row>
    <row r="921" spans="1:1" x14ac:dyDescent="0.25">
      <c r="A921" s="2"/>
    </row>
    <row r="922" spans="1:1" x14ac:dyDescent="0.25">
      <c r="A922" s="2"/>
    </row>
    <row r="923" spans="1:1" x14ac:dyDescent="0.25">
      <c r="A923" s="2"/>
    </row>
    <row r="924" spans="1:1" x14ac:dyDescent="0.25">
      <c r="A924" s="2"/>
    </row>
    <row r="925" spans="1:1" x14ac:dyDescent="0.25">
      <c r="A925" s="2"/>
    </row>
    <row r="926" spans="1:1" x14ac:dyDescent="0.25">
      <c r="A926" s="2"/>
    </row>
    <row r="927" spans="1:1" x14ac:dyDescent="0.25">
      <c r="A927" s="2"/>
    </row>
    <row r="928" spans="1:1" x14ac:dyDescent="0.25">
      <c r="A928" s="2"/>
    </row>
    <row r="929" spans="1:1" x14ac:dyDescent="0.25">
      <c r="A929" s="2"/>
    </row>
    <row r="930" spans="1:1" x14ac:dyDescent="0.25">
      <c r="A930" s="2"/>
    </row>
    <row r="931" spans="1:1" x14ac:dyDescent="0.25">
      <c r="A931" s="2"/>
    </row>
    <row r="932" spans="1:1" x14ac:dyDescent="0.25">
      <c r="A932" s="2"/>
    </row>
    <row r="933" spans="1:1" x14ac:dyDescent="0.25">
      <c r="A933" s="2"/>
    </row>
    <row r="934" spans="1:1" x14ac:dyDescent="0.25">
      <c r="A934" s="2"/>
    </row>
    <row r="935" spans="1:1" x14ac:dyDescent="0.25">
      <c r="A935" s="2"/>
    </row>
    <row r="936" spans="1:1" x14ac:dyDescent="0.25">
      <c r="A936" s="2"/>
    </row>
    <row r="937" spans="1:1" x14ac:dyDescent="0.25">
      <c r="A937" s="2"/>
    </row>
    <row r="938" spans="1:1" x14ac:dyDescent="0.25">
      <c r="A938" s="2"/>
    </row>
    <row r="939" spans="1:1" x14ac:dyDescent="0.25">
      <c r="A939" s="2"/>
    </row>
    <row r="940" spans="1:1" x14ac:dyDescent="0.25">
      <c r="A940" s="2"/>
    </row>
    <row r="941" spans="1:1" x14ac:dyDescent="0.25">
      <c r="A941" s="2"/>
    </row>
    <row r="942" spans="1:1" x14ac:dyDescent="0.25">
      <c r="A942" s="2"/>
    </row>
    <row r="943" spans="1:1" x14ac:dyDescent="0.25">
      <c r="A943" s="2"/>
    </row>
    <row r="944" spans="1:1" x14ac:dyDescent="0.25">
      <c r="A944" s="2"/>
    </row>
    <row r="945" spans="1:1" x14ac:dyDescent="0.25">
      <c r="A945" s="2"/>
    </row>
    <row r="946" spans="1:1" x14ac:dyDescent="0.25">
      <c r="A946" s="2"/>
    </row>
    <row r="947" spans="1:1" x14ac:dyDescent="0.25">
      <c r="A947" s="2"/>
    </row>
    <row r="948" spans="1:1" x14ac:dyDescent="0.25">
      <c r="A948" s="2"/>
    </row>
    <row r="949" spans="1:1" x14ac:dyDescent="0.25">
      <c r="A949" s="2"/>
    </row>
    <row r="950" spans="1:1" x14ac:dyDescent="0.25">
      <c r="A950" s="2"/>
    </row>
    <row r="951" spans="1:1" x14ac:dyDescent="0.25">
      <c r="A951" s="2"/>
    </row>
    <row r="952" spans="1:1" x14ac:dyDescent="0.25">
      <c r="A952" s="2"/>
    </row>
    <row r="953" spans="1:1" x14ac:dyDescent="0.25">
      <c r="A953" s="2"/>
    </row>
    <row r="954" spans="1:1" x14ac:dyDescent="0.25">
      <c r="A954" s="2"/>
    </row>
    <row r="955" spans="1:1" x14ac:dyDescent="0.25">
      <c r="A955" s="2"/>
    </row>
    <row r="956" spans="1:1" x14ac:dyDescent="0.25">
      <c r="A956" s="2"/>
    </row>
    <row r="957" spans="1:1" x14ac:dyDescent="0.25">
      <c r="A957" s="2"/>
    </row>
    <row r="958" spans="1:1" x14ac:dyDescent="0.25">
      <c r="A958" s="2"/>
    </row>
    <row r="959" spans="1:1" x14ac:dyDescent="0.25">
      <c r="A959" s="2"/>
    </row>
    <row r="960" spans="1:1" x14ac:dyDescent="0.25">
      <c r="A960" s="2"/>
    </row>
    <row r="961" spans="1:1" x14ac:dyDescent="0.25">
      <c r="A961" s="2"/>
    </row>
    <row r="962" spans="1:1" x14ac:dyDescent="0.25">
      <c r="A962" s="2"/>
    </row>
    <row r="963" spans="1:1" x14ac:dyDescent="0.25">
      <c r="A963" s="2"/>
    </row>
    <row r="964" spans="1:1" x14ac:dyDescent="0.25">
      <c r="A964" s="2"/>
    </row>
    <row r="965" spans="1:1" x14ac:dyDescent="0.25">
      <c r="A965" s="2"/>
    </row>
    <row r="966" spans="1:1" x14ac:dyDescent="0.25">
      <c r="A966" s="2"/>
    </row>
    <row r="967" spans="1:1" x14ac:dyDescent="0.25">
      <c r="A967" s="2"/>
    </row>
    <row r="968" spans="1:1" x14ac:dyDescent="0.25">
      <c r="A968" s="2"/>
    </row>
    <row r="969" spans="1:1" x14ac:dyDescent="0.25">
      <c r="A969" s="2"/>
    </row>
    <row r="970" spans="1:1" x14ac:dyDescent="0.25">
      <c r="A970" s="2"/>
    </row>
    <row r="971" spans="1:1" x14ac:dyDescent="0.25">
      <c r="A971" s="2"/>
    </row>
    <row r="972" spans="1:1" x14ac:dyDescent="0.25">
      <c r="A972" s="2"/>
    </row>
    <row r="973" spans="1:1" x14ac:dyDescent="0.25">
      <c r="A973" s="2"/>
    </row>
    <row r="974" spans="1:1" x14ac:dyDescent="0.25">
      <c r="A974" s="2"/>
    </row>
    <row r="975" spans="1:1" x14ac:dyDescent="0.25">
      <c r="A975" s="2"/>
    </row>
    <row r="976" spans="1:1" x14ac:dyDescent="0.25">
      <c r="A976" s="2"/>
    </row>
    <row r="977" spans="1:1" x14ac:dyDescent="0.25">
      <c r="A977" s="2"/>
    </row>
    <row r="978" spans="1:1" x14ac:dyDescent="0.25">
      <c r="A978" s="2"/>
    </row>
    <row r="979" spans="1:1" x14ac:dyDescent="0.25">
      <c r="A979" s="2"/>
    </row>
    <row r="980" spans="1:1" x14ac:dyDescent="0.25">
      <c r="A980" s="2"/>
    </row>
    <row r="981" spans="1:1" x14ac:dyDescent="0.25">
      <c r="A981" s="2"/>
    </row>
    <row r="982" spans="1:1" x14ac:dyDescent="0.25">
      <c r="A982" s="2"/>
    </row>
    <row r="983" spans="1:1" x14ac:dyDescent="0.25">
      <c r="A983" s="2"/>
    </row>
    <row r="984" spans="1:1" x14ac:dyDescent="0.25">
      <c r="A984" s="2"/>
    </row>
    <row r="985" spans="1:1" x14ac:dyDescent="0.25">
      <c r="A985" s="2"/>
    </row>
    <row r="986" spans="1:1" x14ac:dyDescent="0.25">
      <c r="A986" s="2"/>
    </row>
    <row r="987" spans="1:1" x14ac:dyDescent="0.25">
      <c r="A987" s="2"/>
    </row>
    <row r="988" spans="1:1" x14ac:dyDescent="0.25">
      <c r="A988" s="2"/>
    </row>
    <row r="989" spans="1:1" x14ac:dyDescent="0.25">
      <c r="A989" s="2"/>
    </row>
    <row r="990" spans="1:1" x14ac:dyDescent="0.25">
      <c r="A990" s="2"/>
    </row>
    <row r="991" spans="1:1" x14ac:dyDescent="0.25">
      <c r="A991" s="2"/>
    </row>
    <row r="992" spans="1:1" x14ac:dyDescent="0.25">
      <c r="A992" s="2"/>
    </row>
    <row r="993" spans="1:1" x14ac:dyDescent="0.25">
      <c r="A993" s="2"/>
    </row>
    <row r="994" spans="1:1" x14ac:dyDescent="0.25">
      <c r="A994" s="2"/>
    </row>
    <row r="995" spans="1:1" x14ac:dyDescent="0.25">
      <c r="A995" s="2"/>
    </row>
    <row r="996" spans="1:1" x14ac:dyDescent="0.25">
      <c r="A996" s="2"/>
    </row>
    <row r="997" spans="1:1" x14ac:dyDescent="0.25">
      <c r="A997" s="2"/>
    </row>
    <row r="998" spans="1:1" x14ac:dyDescent="0.25">
      <c r="A998" s="2"/>
    </row>
    <row r="999" spans="1:1" x14ac:dyDescent="0.25">
      <c r="A999" s="2"/>
    </row>
    <row r="1000" spans="1:1" x14ac:dyDescent="0.25">
      <c r="A1000" s="2"/>
    </row>
    <row r="1001" spans="1:1" x14ac:dyDescent="0.25">
      <c r="A1001" s="2"/>
    </row>
    <row r="1002" spans="1:1" x14ac:dyDescent="0.25">
      <c r="A1002" s="2"/>
    </row>
    <row r="1003" spans="1:1" x14ac:dyDescent="0.25">
      <c r="A1003" s="2"/>
    </row>
    <row r="1004" spans="1:1" x14ac:dyDescent="0.25">
      <c r="A1004" s="2"/>
    </row>
    <row r="1005" spans="1:1" x14ac:dyDescent="0.25">
      <c r="A1005" s="2"/>
    </row>
    <row r="1006" spans="1:1" x14ac:dyDescent="0.25">
      <c r="A1006" s="2"/>
    </row>
    <row r="1007" spans="1:1" x14ac:dyDescent="0.25">
      <c r="A1007" s="2"/>
    </row>
    <row r="1008" spans="1:1" x14ac:dyDescent="0.25">
      <c r="A1008" s="2"/>
    </row>
    <row r="1009" spans="1:1" x14ac:dyDescent="0.25">
      <c r="A1009" s="2"/>
    </row>
    <row r="1010" spans="1:1" x14ac:dyDescent="0.25">
      <c r="A1010" s="2"/>
    </row>
    <row r="1011" spans="1:1" x14ac:dyDescent="0.25">
      <c r="A1011" s="2"/>
    </row>
    <row r="1012" spans="1:1" x14ac:dyDescent="0.25">
      <c r="A1012" s="2"/>
    </row>
    <row r="1013" spans="1:1" x14ac:dyDescent="0.25">
      <c r="A1013" s="2"/>
    </row>
    <row r="1014" spans="1:1" x14ac:dyDescent="0.25">
      <c r="A1014" s="2"/>
    </row>
    <row r="1015" spans="1:1" x14ac:dyDescent="0.25">
      <c r="A1015" s="2"/>
    </row>
    <row r="1016" spans="1:1" x14ac:dyDescent="0.25">
      <c r="A1016" s="2"/>
    </row>
    <row r="1017" spans="1:1" x14ac:dyDescent="0.25">
      <c r="A1017" s="2"/>
    </row>
    <row r="1018" spans="1:1" x14ac:dyDescent="0.25">
      <c r="A1018" s="2"/>
    </row>
    <row r="1019" spans="1:1" x14ac:dyDescent="0.25">
      <c r="A1019" s="2"/>
    </row>
    <row r="1020" spans="1:1" x14ac:dyDescent="0.25">
      <c r="A1020" s="2"/>
    </row>
    <row r="1021" spans="1:1" x14ac:dyDescent="0.25">
      <c r="A1021" s="2"/>
    </row>
    <row r="1022" spans="1:1" x14ac:dyDescent="0.25">
      <c r="A1022" s="2"/>
    </row>
    <row r="1023" spans="1:1" x14ac:dyDescent="0.25">
      <c r="A1023" s="2"/>
    </row>
    <row r="1024" spans="1:1" x14ac:dyDescent="0.25">
      <c r="A1024" s="2"/>
    </row>
    <row r="1025" spans="1:1" x14ac:dyDescent="0.25">
      <c r="A1025" s="2"/>
    </row>
    <row r="1026" spans="1:1" x14ac:dyDescent="0.25">
      <c r="A1026" s="2"/>
    </row>
    <row r="1027" spans="1:1" x14ac:dyDescent="0.25">
      <c r="A1027" s="2"/>
    </row>
    <row r="1028" spans="1:1" x14ac:dyDescent="0.25">
      <c r="A1028" s="2"/>
    </row>
    <row r="1029" spans="1:1" x14ac:dyDescent="0.25">
      <c r="A1029" s="2"/>
    </row>
    <row r="1030" spans="1:1" x14ac:dyDescent="0.25">
      <c r="A1030" s="2"/>
    </row>
    <row r="1031" spans="1:1" x14ac:dyDescent="0.25">
      <c r="A1031" s="2"/>
    </row>
    <row r="1032" spans="1:1" x14ac:dyDescent="0.25">
      <c r="A1032" s="2"/>
    </row>
    <row r="1033" spans="1:1" x14ac:dyDescent="0.25">
      <c r="A1033" s="2"/>
    </row>
    <row r="1034" spans="1:1" x14ac:dyDescent="0.25">
      <c r="A1034" s="2"/>
    </row>
    <row r="1035" spans="1:1" x14ac:dyDescent="0.25">
      <c r="A1035" s="2"/>
    </row>
    <row r="1036" spans="1:1" x14ac:dyDescent="0.25">
      <c r="A1036" s="2"/>
    </row>
    <row r="1037" spans="1:1" x14ac:dyDescent="0.25">
      <c r="A1037" s="2"/>
    </row>
    <row r="1038" spans="1:1" x14ac:dyDescent="0.25">
      <c r="A1038" s="2"/>
    </row>
    <row r="1039" spans="1:1" x14ac:dyDescent="0.25">
      <c r="A1039" s="2"/>
    </row>
    <row r="1040" spans="1:1" x14ac:dyDescent="0.25">
      <c r="A1040" s="2"/>
    </row>
    <row r="1041" spans="1:1" x14ac:dyDescent="0.25">
      <c r="A1041" s="2"/>
    </row>
    <row r="1042" spans="1:1" x14ac:dyDescent="0.25">
      <c r="A1042" s="2"/>
    </row>
    <row r="1043" spans="1:1" x14ac:dyDescent="0.25">
      <c r="A1043" s="2"/>
    </row>
    <row r="1044" spans="1:1" x14ac:dyDescent="0.25">
      <c r="A1044" s="2"/>
    </row>
    <row r="1045" spans="1:1" x14ac:dyDescent="0.25">
      <c r="A1045" s="2"/>
    </row>
    <row r="1046" spans="1:1" x14ac:dyDescent="0.25">
      <c r="A1046" s="2"/>
    </row>
    <row r="1047" spans="1:1" x14ac:dyDescent="0.25">
      <c r="A1047" s="2"/>
    </row>
    <row r="1048" spans="1:1" x14ac:dyDescent="0.25">
      <c r="A1048" s="2"/>
    </row>
    <row r="1049" spans="1:1" x14ac:dyDescent="0.25">
      <c r="A1049" s="2"/>
    </row>
    <row r="1050" spans="1:1" x14ac:dyDescent="0.25">
      <c r="A1050" s="2"/>
    </row>
    <row r="1051" spans="1:1" x14ac:dyDescent="0.25">
      <c r="A1051" s="2"/>
    </row>
    <row r="1052" spans="1:1" x14ac:dyDescent="0.25">
      <c r="A1052" s="2"/>
    </row>
    <row r="1053" spans="1:1" x14ac:dyDescent="0.25">
      <c r="A1053" s="2"/>
    </row>
    <row r="1054" spans="1:1" x14ac:dyDescent="0.25">
      <c r="A1054" s="2"/>
    </row>
    <row r="1055" spans="1:1" x14ac:dyDescent="0.25">
      <c r="A1055" s="2"/>
    </row>
    <row r="1056" spans="1:1" x14ac:dyDescent="0.25">
      <c r="A1056" s="2"/>
    </row>
    <row r="1057" spans="1:1" x14ac:dyDescent="0.25">
      <c r="A1057" s="2"/>
    </row>
    <row r="1058" spans="1:1" x14ac:dyDescent="0.25">
      <c r="A1058" s="2"/>
    </row>
    <row r="1059" spans="1:1" x14ac:dyDescent="0.25">
      <c r="A1059" s="2"/>
    </row>
    <row r="1060" spans="1:1" x14ac:dyDescent="0.25">
      <c r="A1060" s="2"/>
    </row>
    <row r="1061" spans="1:1" x14ac:dyDescent="0.25">
      <c r="A1061" s="2"/>
    </row>
    <row r="1062" spans="1:1" x14ac:dyDescent="0.25">
      <c r="A1062" s="2"/>
    </row>
    <row r="1063" spans="1:1" x14ac:dyDescent="0.25">
      <c r="A1063" s="2"/>
    </row>
    <row r="1064" spans="1:1" x14ac:dyDescent="0.25">
      <c r="A1064" s="2"/>
    </row>
    <row r="1065" spans="1:1" x14ac:dyDescent="0.25">
      <c r="A1065" s="2"/>
    </row>
    <row r="1066" spans="1:1" x14ac:dyDescent="0.25">
      <c r="A1066" s="2"/>
    </row>
    <row r="1067" spans="1:1" x14ac:dyDescent="0.25">
      <c r="A1067" s="2"/>
    </row>
    <row r="1068" spans="1:1" x14ac:dyDescent="0.25">
      <c r="A1068" s="2"/>
    </row>
    <row r="1069" spans="1:1" x14ac:dyDescent="0.25">
      <c r="A1069" s="2"/>
    </row>
    <row r="1070" spans="1:1" x14ac:dyDescent="0.25">
      <c r="A1070" s="2"/>
    </row>
    <row r="1071" spans="1:1" x14ac:dyDescent="0.25">
      <c r="A1071" s="2"/>
    </row>
    <row r="1072" spans="1:1" x14ac:dyDescent="0.25">
      <c r="A1072" s="2"/>
    </row>
    <row r="1073" spans="1:1" x14ac:dyDescent="0.25">
      <c r="A1073" s="2"/>
    </row>
    <row r="1074" spans="1:1" x14ac:dyDescent="0.25">
      <c r="A1074" s="2"/>
    </row>
    <row r="1075" spans="1:1" x14ac:dyDescent="0.25">
      <c r="A1075" s="2"/>
    </row>
    <row r="1076" spans="1:1" x14ac:dyDescent="0.25">
      <c r="A1076" s="2"/>
    </row>
    <row r="1077" spans="1:1" x14ac:dyDescent="0.25">
      <c r="A1077" s="2"/>
    </row>
    <row r="1078" spans="1:1" x14ac:dyDescent="0.25">
      <c r="A1078" s="2"/>
    </row>
    <row r="1079" spans="1:1" x14ac:dyDescent="0.25">
      <c r="A1079" s="2"/>
    </row>
    <row r="1080" spans="1:1" x14ac:dyDescent="0.25">
      <c r="A1080" s="2"/>
    </row>
    <row r="1081" spans="1:1" x14ac:dyDescent="0.25">
      <c r="A1081" s="2"/>
    </row>
    <row r="1082" spans="1:1" x14ac:dyDescent="0.25">
      <c r="A1082" s="2"/>
    </row>
    <row r="1083" spans="1:1" x14ac:dyDescent="0.25">
      <c r="A1083" s="2"/>
    </row>
    <row r="1084" spans="1:1" x14ac:dyDescent="0.25">
      <c r="A1084" s="2"/>
    </row>
    <row r="1085" spans="1:1" x14ac:dyDescent="0.25">
      <c r="A1085" s="2"/>
    </row>
    <row r="1086" spans="1:1" x14ac:dyDescent="0.25">
      <c r="A1086" s="2"/>
    </row>
    <row r="1087" spans="1:1" x14ac:dyDescent="0.25">
      <c r="A1087" s="2"/>
    </row>
    <row r="1088" spans="1:1" x14ac:dyDescent="0.25">
      <c r="A1088" s="2"/>
    </row>
    <row r="1089" spans="1:1" x14ac:dyDescent="0.25">
      <c r="A1089" s="2"/>
    </row>
    <row r="1090" spans="1:1" x14ac:dyDescent="0.25">
      <c r="A1090" s="2"/>
    </row>
    <row r="1091" spans="1:1" x14ac:dyDescent="0.25">
      <c r="A1091" s="2"/>
    </row>
    <row r="1092" spans="1:1" x14ac:dyDescent="0.25">
      <c r="A1092" s="2"/>
    </row>
    <row r="1093" spans="1:1" x14ac:dyDescent="0.25">
      <c r="A1093" s="2"/>
    </row>
    <row r="1094" spans="1:1" x14ac:dyDescent="0.25">
      <c r="A1094" s="2"/>
    </row>
    <row r="1095" spans="1:1" x14ac:dyDescent="0.25">
      <c r="A1095" s="2"/>
    </row>
    <row r="1096" spans="1:1" x14ac:dyDescent="0.25">
      <c r="A1096" s="2"/>
    </row>
    <row r="1097" spans="1:1" x14ac:dyDescent="0.25">
      <c r="A1097" s="2"/>
    </row>
    <row r="1098" spans="1:1" x14ac:dyDescent="0.25">
      <c r="A1098" s="2"/>
    </row>
    <row r="1099" spans="1:1" x14ac:dyDescent="0.25">
      <c r="A1099" s="2"/>
    </row>
    <row r="1100" spans="1:1" x14ac:dyDescent="0.25">
      <c r="A1100" s="2"/>
    </row>
    <row r="1101" spans="1:1" x14ac:dyDescent="0.25">
      <c r="A1101" s="2"/>
    </row>
    <row r="1102" spans="1:1" x14ac:dyDescent="0.25">
      <c r="A1102" s="2"/>
    </row>
    <row r="1103" spans="1:1" x14ac:dyDescent="0.25">
      <c r="A1103" s="2"/>
    </row>
    <row r="1104" spans="1:1" x14ac:dyDescent="0.25">
      <c r="A1104" s="2"/>
    </row>
    <row r="1105" spans="1:1" x14ac:dyDescent="0.25">
      <c r="A1105" s="2"/>
    </row>
    <row r="1106" spans="1:1" x14ac:dyDescent="0.25">
      <c r="A1106" s="2"/>
    </row>
    <row r="1107" spans="1:1" x14ac:dyDescent="0.25">
      <c r="A1107" s="2"/>
    </row>
    <row r="1108" spans="1:1" x14ac:dyDescent="0.25">
      <c r="A1108" s="2"/>
    </row>
    <row r="1109" spans="1:1" x14ac:dyDescent="0.25">
      <c r="A1109" s="2"/>
    </row>
    <row r="1110" spans="1:1" x14ac:dyDescent="0.25">
      <c r="A1110" s="2"/>
    </row>
    <row r="1111" spans="1:1" x14ac:dyDescent="0.25">
      <c r="A1111" s="2"/>
    </row>
    <row r="1112" spans="1:1" x14ac:dyDescent="0.25">
      <c r="A1112" s="2"/>
    </row>
    <row r="1113" spans="1:1" x14ac:dyDescent="0.25">
      <c r="A1113" s="2"/>
    </row>
    <row r="1114" spans="1:1" x14ac:dyDescent="0.25">
      <c r="A1114" s="2"/>
    </row>
    <row r="1115" spans="1:1" x14ac:dyDescent="0.25">
      <c r="A1115" s="2"/>
    </row>
    <row r="1116" spans="1:1" x14ac:dyDescent="0.25">
      <c r="A1116" s="2"/>
    </row>
    <row r="1117" spans="1:1" x14ac:dyDescent="0.25">
      <c r="A1117" s="2"/>
    </row>
    <row r="1118" spans="1:1" x14ac:dyDescent="0.25">
      <c r="A1118" s="2"/>
    </row>
    <row r="1119" spans="1:1" x14ac:dyDescent="0.25">
      <c r="A1119" s="2"/>
    </row>
    <row r="1120" spans="1:1" x14ac:dyDescent="0.25">
      <c r="A1120" s="2"/>
    </row>
    <row r="1121" spans="1:1" x14ac:dyDescent="0.25">
      <c r="A1121" s="2"/>
    </row>
    <row r="1122" spans="1:1" x14ac:dyDescent="0.25">
      <c r="A1122" s="2"/>
    </row>
    <row r="1123" spans="1:1" x14ac:dyDescent="0.25">
      <c r="A1123" s="2"/>
    </row>
    <row r="1124" spans="1:1" x14ac:dyDescent="0.25">
      <c r="A1124" s="2"/>
    </row>
    <row r="1125" spans="1:1" x14ac:dyDescent="0.25">
      <c r="A1125" s="2"/>
    </row>
    <row r="1126" spans="1:1" x14ac:dyDescent="0.25">
      <c r="A1126" s="2"/>
    </row>
    <row r="1127" spans="1:1" x14ac:dyDescent="0.25">
      <c r="A1127" s="2"/>
    </row>
    <row r="1128" spans="1:1" x14ac:dyDescent="0.25">
      <c r="A1128" s="2"/>
    </row>
    <row r="1129" spans="1:1" x14ac:dyDescent="0.25">
      <c r="A1129" s="2"/>
    </row>
    <row r="1130" spans="1:1" x14ac:dyDescent="0.25">
      <c r="A1130" s="2"/>
    </row>
    <row r="1131" spans="1:1" x14ac:dyDescent="0.25">
      <c r="A1131" s="2"/>
    </row>
    <row r="1132" spans="1:1" x14ac:dyDescent="0.25">
      <c r="A1132" s="2"/>
    </row>
    <row r="1133" spans="1:1" x14ac:dyDescent="0.25">
      <c r="A1133" s="2"/>
    </row>
    <row r="1134" spans="1:1" x14ac:dyDescent="0.25">
      <c r="A1134" s="2"/>
    </row>
    <row r="1135" spans="1:1" x14ac:dyDescent="0.25">
      <c r="A1135" s="2"/>
    </row>
    <row r="1136" spans="1:1" x14ac:dyDescent="0.25">
      <c r="A1136" s="2"/>
    </row>
    <row r="1137" spans="1:1" x14ac:dyDescent="0.25">
      <c r="A1137" s="2"/>
    </row>
    <row r="1138" spans="1:1" x14ac:dyDescent="0.25">
      <c r="A1138" s="2"/>
    </row>
    <row r="1139" spans="1:1" x14ac:dyDescent="0.25">
      <c r="A1139" s="2"/>
    </row>
    <row r="1140" spans="1:1" x14ac:dyDescent="0.25">
      <c r="A1140" s="2"/>
    </row>
    <row r="1141" spans="1:1" x14ac:dyDescent="0.25">
      <c r="A1141" s="2"/>
    </row>
    <row r="1142" spans="1:1" x14ac:dyDescent="0.25">
      <c r="A1142" s="2"/>
    </row>
    <row r="1143" spans="1:1" x14ac:dyDescent="0.25">
      <c r="A1143" s="2"/>
    </row>
    <row r="1144" spans="1:1" x14ac:dyDescent="0.25">
      <c r="A1144" s="2"/>
    </row>
    <row r="1145" spans="1:1" x14ac:dyDescent="0.25">
      <c r="A1145" s="2"/>
    </row>
    <row r="1146" spans="1:1" x14ac:dyDescent="0.25">
      <c r="A1146" s="2"/>
    </row>
    <row r="1147" spans="1:1" x14ac:dyDescent="0.25">
      <c r="A1147" s="2"/>
    </row>
    <row r="1148" spans="1:1" x14ac:dyDescent="0.25">
      <c r="A1148" s="2"/>
    </row>
    <row r="1149" spans="1:1" x14ac:dyDescent="0.25">
      <c r="A1149" s="2"/>
    </row>
    <row r="1150" spans="1:1" x14ac:dyDescent="0.25">
      <c r="A1150" s="2"/>
    </row>
    <row r="1151" spans="1:1" x14ac:dyDescent="0.25">
      <c r="A1151" s="2"/>
    </row>
    <row r="1152" spans="1:1" x14ac:dyDescent="0.25">
      <c r="A1152" s="2"/>
    </row>
    <row r="1153" spans="1:1" x14ac:dyDescent="0.25">
      <c r="A1153" s="2"/>
    </row>
    <row r="1154" spans="1:1" x14ac:dyDescent="0.25">
      <c r="A1154" s="2"/>
    </row>
    <row r="1155" spans="1:1" x14ac:dyDescent="0.25">
      <c r="A1155" s="2"/>
    </row>
    <row r="1156" spans="1:1" x14ac:dyDescent="0.25">
      <c r="A1156" s="2"/>
    </row>
    <row r="1157" spans="1:1" x14ac:dyDescent="0.25">
      <c r="A1157" s="2"/>
    </row>
    <row r="1158" spans="1:1" x14ac:dyDescent="0.25">
      <c r="A1158" s="2"/>
    </row>
    <row r="1159" spans="1:1" x14ac:dyDescent="0.25">
      <c r="A1159" s="2"/>
    </row>
    <row r="1160" spans="1:1" x14ac:dyDescent="0.25">
      <c r="A1160" s="2"/>
    </row>
    <row r="1161" spans="1:1" x14ac:dyDescent="0.25">
      <c r="A1161" s="2"/>
    </row>
    <row r="1162" spans="1:1" x14ac:dyDescent="0.25">
      <c r="A1162" s="2"/>
    </row>
    <row r="1163" spans="1:1" x14ac:dyDescent="0.25">
      <c r="A1163" s="2"/>
    </row>
    <row r="1164" spans="1:1" x14ac:dyDescent="0.25">
      <c r="A1164" s="2"/>
    </row>
    <row r="1165" spans="1:1" x14ac:dyDescent="0.25">
      <c r="A1165" s="2"/>
    </row>
    <row r="1166" spans="1:1" x14ac:dyDescent="0.25">
      <c r="A1166" s="2"/>
    </row>
    <row r="1167" spans="1:1" x14ac:dyDescent="0.25">
      <c r="A1167" s="2"/>
    </row>
    <row r="1168" spans="1:1" x14ac:dyDescent="0.25">
      <c r="A1168" s="2"/>
    </row>
    <row r="1169" spans="1:1" x14ac:dyDescent="0.25">
      <c r="A1169" s="2"/>
    </row>
    <row r="1170" spans="1:1" x14ac:dyDescent="0.25">
      <c r="A1170" s="2"/>
    </row>
    <row r="1171" spans="1:1" x14ac:dyDescent="0.25">
      <c r="A1171" s="2"/>
    </row>
    <row r="1172" spans="1:1" x14ac:dyDescent="0.25">
      <c r="A1172" s="2"/>
    </row>
    <row r="1173" spans="1:1" x14ac:dyDescent="0.25">
      <c r="A1173" s="2"/>
    </row>
    <row r="1174" spans="1:1" x14ac:dyDescent="0.25">
      <c r="A1174" s="2"/>
    </row>
    <row r="1175" spans="1:1" x14ac:dyDescent="0.25">
      <c r="A1175" s="2"/>
    </row>
    <row r="1176" spans="1:1" x14ac:dyDescent="0.25">
      <c r="A1176" s="2"/>
    </row>
    <row r="1177" spans="1:1" x14ac:dyDescent="0.25">
      <c r="A1177" s="2"/>
    </row>
    <row r="1178" spans="1:1" x14ac:dyDescent="0.25">
      <c r="A1178" s="2"/>
    </row>
    <row r="1179" spans="1:1" x14ac:dyDescent="0.25">
      <c r="A1179" s="2"/>
    </row>
    <row r="1180" spans="1:1" x14ac:dyDescent="0.25">
      <c r="A1180" s="2"/>
    </row>
    <row r="1181" spans="1:1" x14ac:dyDescent="0.25">
      <c r="A1181" s="2"/>
    </row>
    <row r="1182" spans="1:1" x14ac:dyDescent="0.25">
      <c r="A1182" s="2"/>
    </row>
    <row r="1183" spans="1:1" x14ac:dyDescent="0.25">
      <c r="A1183" s="2"/>
    </row>
    <row r="1184" spans="1:1" x14ac:dyDescent="0.25">
      <c r="A1184" s="2"/>
    </row>
    <row r="1185" spans="1:1" x14ac:dyDescent="0.25">
      <c r="A1185" s="2"/>
    </row>
    <row r="1186" spans="1:1" x14ac:dyDescent="0.25">
      <c r="A1186" s="2"/>
    </row>
    <row r="1187" spans="1:1" x14ac:dyDescent="0.25">
      <c r="A1187" s="2"/>
    </row>
    <row r="1188" spans="1:1" x14ac:dyDescent="0.25">
      <c r="A1188" s="2"/>
    </row>
    <row r="1189" spans="1:1" x14ac:dyDescent="0.25">
      <c r="A1189" s="2"/>
    </row>
    <row r="1190" spans="1:1" x14ac:dyDescent="0.25">
      <c r="A1190" s="2"/>
    </row>
    <row r="1191" spans="1:1" x14ac:dyDescent="0.25">
      <c r="A1191" s="2"/>
    </row>
    <row r="1192" spans="1:1" x14ac:dyDescent="0.25">
      <c r="A1192" s="2"/>
    </row>
    <row r="1193" spans="1:1" x14ac:dyDescent="0.25">
      <c r="A1193" s="2"/>
    </row>
    <row r="1194" spans="1:1" x14ac:dyDescent="0.25">
      <c r="A1194" s="2"/>
    </row>
    <row r="1195" spans="1:1" x14ac:dyDescent="0.25">
      <c r="A1195" s="2"/>
    </row>
    <row r="1196" spans="1:1" x14ac:dyDescent="0.25">
      <c r="A1196" s="2"/>
    </row>
    <row r="1197" spans="1:1" x14ac:dyDescent="0.25">
      <c r="A1197" s="2"/>
    </row>
    <row r="1198" spans="1:1" x14ac:dyDescent="0.25">
      <c r="A1198" s="2"/>
    </row>
    <row r="1199" spans="1:1" x14ac:dyDescent="0.25">
      <c r="A1199" s="2"/>
    </row>
    <row r="1200" spans="1:1" x14ac:dyDescent="0.25">
      <c r="A1200" s="2"/>
    </row>
    <row r="1201" spans="1:1" x14ac:dyDescent="0.25">
      <c r="A1201" s="2"/>
    </row>
    <row r="1202" spans="1:1" x14ac:dyDescent="0.25">
      <c r="A1202" s="2"/>
    </row>
    <row r="1203" spans="1:1" x14ac:dyDescent="0.25">
      <c r="A1203" s="2"/>
    </row>
    <row r="1204" spans="1:1" x14ac:dyDescent="0.25">
      <c r="A1204" s="2"/>
    </row>
    <row r="1205" spans="1:1" x14ac:dyDescent="0.25">
      <c r="A1205" s="2"/>
    </row>
    <row r="1206" spans="1:1" x14ac:dyDescent="0.25">
      <c r="A1206" s="2"/>
    </row>
    <row r="1207" spans="1:1" x14ac:dyDescent="0.25">
      <c r="A1207" s="2"/>
    </row>
    <row r="1208" spans="1:1" x14ac:dyDescent="0.25">
      <c r="A1208" s="2"/>
    </row>
    <row r="1209" spans="1:1" x14ac:dyDescent="0.25">
      <c r="A1209" s="2"/>
    </row>
    <row r="1210" spans="1:1" x14ac:dyDescent="0.25">
      <c r="A1210" s="2"/>
    </row>
    <row r="1211" spans="1:1" x14ac:dyDescent="0.25">
      <c r="A1211" s="2"/>
    </row>
    <row r="1212" spans="1:1" x14ac:dyDescent="0.25">
      <c r="A1212" s="2"/>
    </row>
    <row r="1213" spans="1:1" x14ac:dyDescent="0.25">
      <c r="A1213" s="2"/>
    </row>
    <row r="1214" spans="1:1" x14ac:dyDescent="0.25">
      <c r="A1214" s="2"/>
    </row>
    <row r="1215" spans="1:1" x14ac:dyDescent="0.25">
      <c r="A1215" s="2"/>
    </row>
    <row r="1216" spans="1:1" x14ac:dyDescent="0.25">
      <c r="A1216" s="2"/>
    </row>
    <row r="1217" spans="1:1" x14ac:dyDescent="0.25">
      <c r="A1217" s="2"/>
    </row>
    <row r="1218" spans="1:1" x14ac:dyDescent="0.25">
      <c r="A1218" s="2"/>
    </row>
    <row r="1219" spans="1:1" x14ac:dyDescent="0.25">
      <c r="A1219" s="2"/>
    </row>
    <row r="1220" spans="1:1" x14ac:dyDescent="0.25">
      <c r="A1220" s="2"/>
    </row>
    <row r="1221" spans="1:1" x14ac:dyDescent="0.25">
      <c r="A1221" s="2"/>
    </row>
    <row r="1222" spans="1:1" x14ac:dyDescent="0.25">
      <c r="A1222" s="2"/>
    </row>
    <row r="1223" spans="1:1" x14ac:dyDescent="0.25">
      <c r="A1223" s="2"/>
    </row>
    <row r="1224" spans="1:1" x14ac:dyDescent="0.25">
      <c r="A1224" s="2"/>
    </row>
    <row r="1225" spans="1:1" x14ac:dyDescent="0.25">
      <c r="A1225" s="2"/>
    </row>
    <row r="1226" spans="1:1" x14ac:dyDescent="0.25">
      <c r="A1226" s="2"/>
    </row>
    <row r="1227" spans="1:1" x14ac:dyDescent="0.25">
      <c r="A1227" s="2"/>
    </row>
    <row r="1228" spans="1:1" x14ac:dyDescent="0.25">
      <c r="A1228" s="2"/>
    </row>
    <row r="1229" spans="1:1" x14ac:dyDescent="0.25">
      <c r="A1229" s="2"/>
    </row>
    <row r="1230" spans="1:1" x14ac:dyDescent="0.25">
      <c r="A1230" s="2"/>
    </row>
    <row r="1231" spans="1:1" x14ac:dyDescent="0.25">
      <c r="A1231" s="2"/>
    </row>
    <row r="1232" spans="1:1" x14ac:dyDescent="0.25">
      <c r="A1232" s="2"/>
    </row>
    <row r="1233" spans="1:2" x14ac:dyDescent="0.25">
      <c r="A1233" s="2"/>
    </row>
    <row r="1234" spans="1:2" x14ac:dyDescent="0.25">
      <c r="A1234" s="2"/>
    </row>
    <row r="1235" spans="1:2" x14ac:dyDescent="0.25">
      <c r="A1235" s="2"/>
    </row>
    <row r="1236" spans="1:2" x14ac:dyDescent="0.25">
      <c r="A1236" s="2"/>
    </row>
    <row r="1237" spans="1:2" x14ac:dyDescent="0.25">
      <c r="A1237" s="2"/>
      <c r="B1237" s="1"/>
    </row>
    <row r="1238" spans="1:2" x14ac:dyDescent="0.25">
      <c r="A1238" s="2"/>
      <c r="B1238" s="1"/>
    </row>
    <row r="1239" spans="1:2" x14ac:dyDescent="0.25">
      <c r="A1239" s="2"/>
      <c r="B1239" s="1"/>
    </row>
    <row r="1240" spans="1:2" x14ac:dyDescent="0.25">
      <c r="A1240" s="2"/>
      <c r="B1240" s="1"/>
    </row>
    <row r="1241" spans="1:2" x14ac:dyDescent="0.25">
      <c r="A1241" s="2"/>
      <c r="B1241" s="1"/>
    </row>
    <row r="1242" spans="1:2" x14ac:dyDescent="0.25">
      <c r="A1242" s="2"/>
      <c r="B1242" s="1"/>
    </row>
    <row r="1243" spans="1:2" x14ac:dyDescent="0.25">
      <c r="A1243" s="2"/>
      <c r="B1243" s="1"/>
    </row>
    <row r="1244" spans="1:2" x14ac:dyDescent="0.25">
      <c r="A1244" s="2"/>
      <c r="B1244" s="1"/>
    </row>
    <row r="1245" spans="1:2" x14ac:dyDescent="0.25">
      <c r="A1245" s="2"/>
      <c r="B1245" s="1"/>
    </row>
    <row r="1246" spans="1:2" x14ac:dyDescent="0.25">
      <c r="A1246" s="2"/>
      <c r="B1246" s="1"/>
    </row>
    <row r="1247" spans="1:2" x14ac:dyDescent="0.25">
      <c r="A1247" s="2"/>
      <c r="B1247" s="1"/>
    </row>
    <row r="1248" spans="1:2" x14ac:dyDescent="0.25">
      <c r="A1248" s="2"/>
      <c r="B1248" s="1"/>
    </row>
    <row r="1249" spans="1:2" x14ac:dyDescent="0.25">
      <c r="A1249" s="2"/>
      <c r="B1249" s="1"/>
    </row>
    <row r="1250" spans="1:2" x14ac:dyDescent="0.25">
      <c r="A1250" s="2"/>
      <c r="B1250" s="1"/>
    </row>
    <row r="1251" spans="1:2" x14ac:dyDescent="0.25">
      <c r="A1251" s="2"/>
      <c r="B1251" s="1"/>
    </row>
    <row r="1252" spans="1:2" x14ac:dyDescent="0.25">
      <c r="A1252" s="2"/>
      <c r="B1252" s="1"/>
    </row>
    <row r="1253" spans="1:2" x14ac:dyDescent="0.25">
      <c r="A1253" s="2"/>
      <c r="B1253" s="1"/>
    </row>
    <row r="1254" spans="1:2" x14ac:dyDescent="0.25">
      <c r="A1254" s="2"/>
      <c r="B1254" s="1"/>
    </row>
    <row r="1255" spans="1:2" x14ac:dyDescent="0.25">
      <c r="A1255" s="2"/>
      <c r="B1255" s="1"/>
    </row>
    <row r="1256" spans="1:2" x14ac:dyDescent="0.25">
      <c r="A1256" s="2"/>
      <c r="B1256" s="1"/>
    </row>
    <row r="1257" spans="1:2" x14ac:dyDescent="0.25">
      <c r="A1257" s="2"/>
      <c r="B1257" s="1"/>
    </row>
    <row r="1258" spans="1:2" x14ac:dyDescent="0.25">
      <c r="A1258" s="2"/>
      <c r="B1258" s="1"/>
    </row>
    <row r="1259" spans="1:2" x14ac:dyDescent="0.25">
      <c r="A1259" s="2"/>
      <c r="B1259" s="1"/>
    </row>
    <row r="1260" spans="1:2" x14ac:dyDescent="0.25">
      <c r="A1260" s="2"/>
      <c r="B1260" s="1"/>
    </row>
    <row r="1261" spans="1:2" x14ac:dyDescent="0.25">
      <c r="A1261" s="2"/>
      <c r="B1261" s="1"/>
    </row>
    <row r="1262" spans="1:2" x14ac:dyDescent="0.25">
      <c r="A1262" s="2"/>
      <c r="B1262" s="1"/>
    </row>
    <row r="1263" spans="1:2" x14ac:dyDescent="0.25">
      <c r="A1263" s="2"/>
      <c r="B1263" s="1"/>
    </row>
    <row r="1264" spans="1:2" x14ac:dyDescent="0.25">
      <c r="A1264" s="2"/>
      <c r="B1264" s="1"/>
    </row>
    <row r="1265" spans="1:2" x14ac:dyDescent="0.25">
      <c r="A1265" s="2"/>
      <c r="B1265" s="1"/>
    </row>
    <row r="1266" spans="1:2" x14ac:dyDescent="0.25">
      <c r="A1266" s="2"/>
      <c r="B1266" s="1"/>
    </row>
  </sheetData>
  <mergeCells count="56">
    <mergeCell ref="Y2:AC2"/>
    <mergeCell ref="AC3:AC4"/>
    <mergeCell ref="Y5:Z5"/>
    <mergeCell ref="Y7:Z7"/>
    <mergeCell ref="S3:U3"/>
    <mergeCell ref="S4:U4"/>
    <mergeCell ref="S5:U5"/>
    <mergeCell ref="S6:U6"/>
    <mergeCell ref="S7:U7"/>
    <mergeCell ref="S2:W2"/>
    <mergeCell ref="Y8:Z8"/>
    <mergeCell ref="Y6:Z6"/>
    <mergeCell ref="AA3:AB3"/>
    <mergeCell ref="Y3:Z4"/>
    <mergeCell ref="S9:W9"/>
    <mergeCell ref="S8:U8"/>
    <mergeCell ref="AE7:AF7"/>
    <mergeCell ref="AE8:AF8"/>
    <mergeCell ref="AK2:AO2"/>
    <mergeCell ref="AK3:AL4"/>
    <mergeCell ref="AM3:AN3"/>
    <mergeCell ref="AO3:AO4"/>
    <mergeCell ref="AK5:AL5"/>
    <mergeCell ref="AK6:AL6"/>
    <mergeCell ref="AK7:AL7"/>
    <mergeCell ref="AK8:AL8"/>
    <mergeCell ref="AE2:AI2"/>
    <mergeCell ref="AE3:AF4"/>
    <mergeCell ref="AG3:AH3"/>
    <mergeCell ref="AI3:AI4"/>
    <mergeCell ref="AE5:AF5"/>
    <mergeCell ref="AE6:AF6"/>
    <mergeCell ref="AR7:AS7"/>
    <mergeCell ref="AR8:AS8"/>
    <mergeCell ref="AY2:BC2"/>
    <mergeCell ref="AY3:AZ4"/>
    <mergeCell ref="BA3:BB3"/>
    <mergeCell ref="BC3:BC4"/>
    <mergeCell ref="AY5:AZ5"/>
    <mergeCell ref="AY6:AZ6"/>
    <mergeCell ref="AY7:AZ7"/>
    <mergeCell ref="AY8:AZ8"/>
    <mergeCell ref="AR2:AV2"/>
    <mergeCell ref="AR3:AS4"/>
    <mergeCell ref="AT3:AU3"/>
    <mergeCell ref="AV3:AV4"/>
    <mergeCell ref="AR5:AS5"/>
    <mergeCell ref="AR6:AS6"/>
    <mergeCell ref="BF7:BG7"/>
    <mergeCell ref="BF8:BG8"/>
    <mergeCell ref="BF2:BJ2"/>
    <mergeCell ref="BF3:BG4"/>
    <mergeCell ref="BH3:BI3"/>
    <mergeCell ref="BJ3:BJ4"/>
    <mergeCell ref="BF5:BG5"/>
    <mergeCell ref="BF6:BG6"/>
  </mergeCell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16268-2AEC-432F-B475-7080235B1B50}">
  <dimension ref="A1:B91"/>
  <sheetViews>
    <sheetView topLeftCell="A57" workbookViewId="0">
      <selection activeCell="G62" sqref="G62"/>
    </sheetView>
  </sheetViews>
  <sheetFormatPr defaultRowHeight="15" x14ac:dyDescent="0.25"/>
  <cols>
    <col min="1" max="1" width="9.7109375" bestFit="1" customWidth="1"/>
  </cols>
  <sheetData>
    <row r="1" spans="1:2" x14ac:dyDescent="0.25">
      <c r="A1" s="4" t="s">
        <v>32</v>
      </c>
      <c r="B1" t="s">
        <v>33</v>
      </c>
    </row>
    <row r="2" spans="1:2" x14ac:dyDescent="0.25">
      <c r="A2" s="4" t="s">
        <v>34</v>
      </c>
      <c r="B2">
        <v>3525.3767779999998</v>
      </c>
    </row>
    <row r="3" spans="1:2" x14ac:dyDescent="0.25">
      <c r="A3" s="4" t="s">
        <v>35</v>
      </c>
      <c r="B3">
        <v>3519.514588</v>
      </c>
    </row>
    <row r="4" spans="1:2" x14ac:dyDescent="0.25">
      <c r="A4" s="4" t="s">
        <v>36</v>
      </c>
      <c r="B4">
        <v>3513.9371970000002</v>
      </c>
    </row>
    <row r="5" spans="1:2" x14ac:dyDescent="0.25">
      <c r="A5" s="4" t="s">
        <v>37</v>
      </c>
      <c r="B5">
        <v>3508.3779880000002</v>
      </c>
    </row>
    <row r="6" spans="1:2" x14ac:dyDescent="0.25">
      <c r="A6" s="4" t="s">
        <v>38</v>
      </c>
      <c r="B6">
        <v>3502.8199399999999</v>
      </c>
    </row>
    <row r="7" spans="1:2" x14ac:dyDescent="0.25">
      <c r="A7" s="4" t="s">
        <v>39</v>
      </c>
      <c r="B7">
        <v>3497.261966</v>
      </c>
    </row>
    <row r="8" spans="1:2" x14ac:dyDescent="0.25">
      <c r="A8" s="4">
        <v>45294</v>
      </c>
      <c r="B8">
        <v>3491.7039960000002</v>
      </c>
    </row>
    <row r="9" spans="1:2" x14ac:dyDescent="0.25">
      <c r="A9" s="4">
        <v>45325</v>
      </c>
      <c r="B9">
        <v>3486.1460269999998</v>
      </c>
    </row>
    <row r="10" spans="1:2" x14ac:dyDescent="0.25">
      <c r="A10" s="4">
        <v>45354</v>
      </c>
      <c r="B10">
        <v>3480.5880579999998</v>
      </c>
    </row>
    <row r="11" spans="1:2" x14ac:dyDescent="0.25">
      <c r="A11" s="4">
        <v>45385</v>
      </c>
      <c r="B11">
        <v>3475.0300889999999</v>
      </c>
    </row>
    <row r="12" spans="1:2" x14ac:dyDescent="0.25">
      <c r="A12" s="4">
        <v>45415</v>
      </c>
      <c r="B12">
        <v>3469.4721199999999</v>
      </c>
    </row>
    <row r="13" spans="1:2" x14ac:dyDescent="0.25">
      <c r="A13" s="4">
        <v>45446</v>
      </c>
      <c r="B13">
        <v>3463.9141509999999</v>
      </c>
    </row>
    <row r="14" spans="1:2" x14ac:dyDescent="0.25">
      <c r="A14" s="4">
        <v>45476</v>
      </c>
      <c r="B14">
        <v>3458.3561810000001</v>
      </c>
    </row>
    <row r="15" spans="1:2" x14ac:dyDescent="0.25">
      <c r="A15" s="4">
        <v>45507</v>
      </c>
      <c r="B15">
        <v>3452.7982120000001</v>
      </c>
    </row>
    <row r="16" spans="1:2" x14ac:dyDescent="0.25">
      <c r="A16" s="4">
        <v>45538</v>
      </c>
      <c r="B16">
        <v>3447.2402430000002</v>
      </c>
    </row>
    <row r="17" spans="1:2" x14ac:dyDescent="0.25">
      <c r="A17" s="4">
        <v>45568</v>
      </c>
      <c r="B17">
        <v>3441.6822739999998</v>
      </c>
    </row>
    <row r="18" spans="1:2" x14ac:dyDescent="0.25">
      <c r="A18" s="4">
        <v>45599</v>
      </c>
      <c r="B18">
        <v>3436.1243049999998</v>
      </c>
    </row>
    <row r="19" spans="1:2" x14ac:dyDescent="0.25">
      <c r="A19" s="4">
        <v>45629</v>
      </c>
      <c r="B19">
        <v>3430.5663359999999</v>
      </c>
    </row>
    <row r="20" spans="1:2" x14ac:dyDescent="0.25">
      <c r="A20" s="4" t="s">
        <v>40</v>
      </c>
      <c r="B20">
        <v>3425.0083669999999</v>
      </c>
    </row>
    <row r="21" spans="1:2" x14ac:dyDescent="0.25">
      <c r="A21" s="4" t="s">
        <v>41</v>
      </c>
      <c r="B21">
        <v>3419.4503970000001</v>
      </c>
    </row>
    <row r="22" spans="1:2" x14ac:dyDescent="0.25">
      <c r="A22" s="4" t="s">
        <v>42</v>
      </c>
      <c r="B22">
        <v>3413.8924280000001</v>
      </c>
    </row>
    <row r="23" spans="1:2" x14ac:dyDescent="0.25">
      <c r="A23" s="4" t="s">
        <v>43</v>
      </c>
      <c r="B23">
        <v>3408.3344590000002</v>
      </c>
    </row>
    <row r="24" spans="1:2" x14ac:dyDescent="0.25">
      <c r="A24" s="4" t="s">
        <v>44</v>
      </c>
      <c r="B24">
        <v>3402.7764900000002</v>
      </c>
    </row>
    <row r="25" spans="1:2" x14ac:dyDescent="0.25">
      <c r="A25" s="4" t="s">
        <v>45</v>
      </c>
      <c r="B25">
        <v>3397.2185209999998</v>
      </c>
    </row>
    <row r="26" spans="1:2" x14ac:dyDescent="0.25">
      <c r="A26" s="4" t="s">
        <v>46</v>
      </c>
      <c r="B26">
        <v>3391.6605519999998</v>
      </c>
    </row>
    <row r="27" spans="1:2" x14ac:dyDescent="0.25">
      <c r="A27" s="4" t="s">
        <v>47</v>
      </c>
      <c r="B27">
        <v>3386.1025829999999</v>
      </c>
    </row>
    <row r="28" spans="1:2" x14ac:dyDescent="0.25">
      <c r="A28" s="4" t="s">
        <v>48</v>
      </c>
      <c r="B28">
        <v>3380.544613</v>
      </c>
    </row>
    <row r="29" spans="1:2" x14ac:dyDescent="0.25">
      <c r="A29" s="4" t="s">
        <v>49</v>
      </c>
      <c r="B29">
        <v>3374.9866440000001</v>
      </c>
    </row>
    <row r="30" spans="1:2" x14ac:dyDescent="0.25">
      <c r="A30" s="4" t="s">
        <v>50</v>
      </c>
      <c r="B30">
        <v>3369.4286750000001</v>
      </c>
    </row>
    <row r="31" spans="1:2" x14ac:dyDescent="0.25">
      <c r="A31" s="4" t="s">
        <v>51</v>
      </c>
      <c r="B31">
        <v>3363.8707060000002</v>
      </c>
    </row>
    <row r="32" spans="1:2" x14ac:dyDescent="0.25">
      <c r="A32" s="4" t="s">
        <v>52</v>
      </c>
      <c r="B32">
        <v>3358.3127370000002</v>
      </c>
    </row>
    <row r="33" spans="1:2" x14ac:dyDescent="0.25">
      <c r="A33" s="4" t="s">
        <v>53</v>
      </c>
      <c r="B33">
        <v>3352.7547679999998</v>
      </c>
    </row>
    <row r="34" spans="1:2" x14ac:dyDescent="0.25">
      <c r="A34" s="4" t="s">
        <v>54</v>
      </c>
      <c r="B34">
        <v>3347.1967989999998</v>
      </c>
    </row>
    <row r="35" spans="1:2" x14ac:dyDescent="0.25">
      <c r="A35" s="4" t="s">
        <v>55</v>
      </c>
      <c r="B35">
        <v>3341.638829</v>
      </c>
    </row>
    <row r="36" spans="1:2" x14ac:dyDescent="0.25">
      <c r="A36" s="4" t="s">
        <v>56</v>
      </c>
      <c r="B36">
        <v>3336.08086</v>
      </c>
    </row>
    <row r="37" spans="1:2" x14ac:dyDescent="0.25">
      <c r="A37" s="4" t="s">
        <v>57</v>
      </c>
      <c r="B37">
        <v>3330.5228910000001</v>
      </c>
    </row>
    <row r="38" spans="1:2" x14ac:dyDescent="0.25">
      <c r="A38" s="4" t="s">
        <v>58</v>
      </c>
      <c r="B38">
        <v>3324.9649220000001</v>
      </c>
    </row>
    <row r="39" spans="1:2" x14ac:dyDescent="0.25">
      <c r="A39" s="4">
        <v>45295</v>
      </c>
      <c r="B39">
        <v>3319.4069530000002</v>
      </c>
    </row>
    <row r="40" spans="1:2" x14ac:dyDescent="0.25">
      <c r="A40" s="4">
        <v>45326</v>
      </c>
      <c r="B40">
        <v>3313.8489840000002</v>
      </c>
    </row>
    <row r="41" spans="1:2" x14ac:dyDescent="0.25">
      <c r="A41" s="4">
        <v>45355</v>
      </c>
      <c r="B41">
        <v>3308.2910149999998</v>
      </c>
    </row>
    <row r="42" spans="1:2" x14ac:dyDescent="0.25">
      <c r="A42" s="4">
        <v>45386</v>
      </c>
      <c r="B42">
        <v>3302.7330449999999</v>
      </c>
    </row>
    <row r="43" spans="1:2" x14ac:dyDescent="0.25">
      <c r="A43" s="4">
        <v>45416</v>
      </c>
      <c r="B43">
        <v>3297.175076</v>
      </c>
    </row>
    <row r="44" spans="1:2" x14ac:dyDescent="0.25">
      <c r="A44" s="4">
        <v>45447</v>
      </c>
      <c r="B44">
        <v>3291.617107</v>
      </c>
    </row>
    <row r="45" spans="1:2" x14ac:dyDescent="0.25">
      <c r="A45" s="4">
        <v>45477</v>
      </c>
      <c r="B45">
        <v>3286.0591380000001</v>
      </c>
    </row>
    <row r="46" spans="1:2" x14ac:dyDescent="0.25">
      <c r="A46" s="4">
        <v>45508</v>
      </c>
      <c r="B46">
        <v>3280.5011690000001</v>
      </c>
    </row>
    <row r="47" spans="1:2" x14ac:dyDescent="0.25">
      <c r="A47" s="4">
        <v>45539</v>
      </c>
      <c r="B47">
        <v>3274.9432000000002</v>
      </c>
    </row>
    <row r="48" spans="1:2" x14ac:dyDescent="0.25">
      <c r="A48" s="4">
        <v>45569</v>
      </c>
      <c r="B48">
        <v>3269.3852310000002</v>
      </c>
    </row>
    <row r="49" spans="1:2" x14ac:dyDescent="0.25">
      <c r="A49" s="4">
        <v>45600</v>
      </c>
      <c r="B49">
        <v>3263.8272609999999</v>
      </c>
    </row>
    <row r="50" spans="1:2" x14ac:dyDescent="0.25">
      <c r="A50" s="4">
        <v>45630</v>
      </c>
      <c r="B50">
        <v>3258.269292</v>
      </c>
    </row>
    <row r="51" spans="1:2" x14ac:dyDescent="0.25">
      <c r="A51" s="4" t="s">
        <v>59</v>
      </c>
      <c r="B51">
        <v>3252.711323</v>
      </c>
    </row>
    <row r="52" spans="1:2" x14ac:dyDescent="0.25">
      <c r="A52" s="4" t="s">
        <v>60</v>
      </c>
      <c r="B52">
        <v>3247.153354</v>
      </c>
    </row>
    <row r="53" spans="1:2" x14ac:dyDescent="0.25">
      <c r="A53" s="4" t="s">
        <v>61</v>
      </c>
      <c r="B53">
        <v>3241.5953850000001</v>
      </c>
    </row>
    <row r="54" spans="1:2" x14ac:dyDescent="0.25">
      <c r="A54" s="4" t="s">
        <v>62</v>
      </c>
      <c r="B54">
        <v>3236.0374160000001</v>
      </c>
    </row>
    <row r="55" spans="1:2" x14ac:dyDescent="0.25">
      <c r="A55" s="4" t="s">
        <v>63</v>
      </c>
      <c r="B55">
        <v>3230.4794470000002</v>
      </c>
    </row>
    <row r="56" spans="1:2" x14ac:dyDescent="0.25">
      <c r="A56" s="4" t="s">
        <v>64</v>
      </c>
      <c r="B56">
        <v>3224.9214769999999</v>
      </c>
    </row>
    <row r="57" spans="1:2" x14ac:dyDescent="0.25">
      <c r="A57" s="4" t="s">
        <v>65</v>
      </c>
      <c r="B57">
        <v>3219.3635079999999</v>
      </c>
    </row>
    <row r="58" spans="1:2" x14ac:dyDescent="0.25">
      <c r="A58" s="4" t="s">
        <v>66</v>
      </c>
      <c r="B58">
        <v>3213.805539</v>
      </c>
    </row>
    <row r="59" spans="1:2" x14ac:dyDescent="0.25">
      <c r="A59" s="4" t="s">
        <v>67</v>
      </c>
      <c r="B59">
        <v>3208.24757</v>
      </c>
    </row>
    <row r="60" spans="1:2" x14ac:dyDescent="0.25">
      <c r="A60" s="4" t="s">
        <v>68</v>
      </c>
      <c r="B60">
        <v>3202.689601</v>
      </c>
    </row>
    <row r="61" spans="1:2" x14ac:dyDescent="0.25">
      <c r="A61" s="4" t="s">
        <v>69</v>
      </c>
      <c r="B61">
        <v>3197.1316320000001</v>
      </c>
    </row>
    <row r="62" spans="1:2" x14ac:dyDescent="0.25">
      <c r="A62" s="4" t="s">
        <v>70</v>
      </c>
      <c r="B62">
        <v>3191.5736630000001</v>
      </c>
    </row>
    <row r="63" spans="1:2" x14ac:dyDescent="0.25">
      <c r="A63" s="4" t="s">
        <v>71</v>
      </c>
      <c r="B63">
        <v>3186.0156929999998</v>
      </c>
    </row>
    <row r="64" spans="1:2" x14ac:dyDescent="0.25">
      <c r="A64" s="4" t="s">
        <v>72</v>
      </c>
      <c r="B64">
        <v>3180.4577239999999</v>
      </c>
    </row>
    <row r="65" spans="1:2" x14ac:dyDescent="0.25">
      <c r="A65" s="4" t="s">
        <v>73</v>
      </c>
      <c r="B65">
        <v>3174.8997549999999</v>
      </c>
    </row>
    <row r="66" spans="1:2" x14ac:dyDescent="0.25">
      <c r="A66" s="4" t="s">
        <v>74</v>
      </c>
      <c r="B66">
        <v>3169.341786</v>
      </c>
    </row>
    <row r="67" spans="1:2" x14ac:dyDescent="0.25">
      <c r="A67" s="4" t="s">
        <v>75</v>
      </c>
      <c r="B67">
        <v>3163.783817</v>
      </c>
    </row>
    <row r="68" spans="1:2" x14ac:dyDescent="0.25">
      <c r="A68" s="4" t="s">
        <v>76</v>
      </c>
      <c r="B68">
        <v>3158.225848</v>
      </c>
    </row>
    <row r="69" spans="1:2" x14ac:dyDescent="0.25">
      <c r="A69" s="4">
        <v>45296</v>
      </c>
      <c r="B69">
        <v>3152.6678790000001</v>
      </c>
    </row>
    <row r="70" spans="1:2" x14ac:dyDescent="0.25">
      <c r="A70" s="4">
        <v>45327</v>
      </c>
      <c r="B70">
        <v>3147.1099089999998</v>
      </c>
    </row>
    <row r="71" spans="1:2" x14ac:dyDescent="0.25">
      <c r="A71" s="4">
        <v>45356</v>
      </c>
      <c r="B71">
        <v>3141.5519399999998</v>
      </c>
    </row>
    <row r="72" spans="1:2" x14ac:dyDescent="0.25">
      <c r="A72" s="4">
        <v>45387</v>
      </c>
      <c r="B72">
        <v>3135.9939709999999</v>
      </c>
    </row>
    <row r="73" spans="1:2" x14ac:dyDescent="0.25">
      <c r="A73" s="4">
        <v>45417</v>
      </c>
      <c r="B73">
        <v>3130.4360019999999</v>
      </c>
    </row>
    <row r="74" spans="1:2" x14ac:dyDescent="0.25">
      <c r="A74" s="4">
        <v>45448</v>
      </c>
      <c r="B74">
        <v>3124.878033</v>
      </c>
    </row>
    <row r="75" spans="1:2" x14ac:dyDescent="0.25">
      <c r="A75" s="4">
        <v>45478</v>
      </c>
      <c r="B75">
        <v>3119.320064</v>
      </c>
    </row>
    <row r="76" spans="1:2" x14ac:dyDescent="0.25">
      <c r="A76" s="4">
        <v>45509</v>
      </c>
      <c r="B76">
        <v>3113.762095</v>
      </c>
    </row>
    <row r="77" spans="1:2" x14ac:dyDescent="0.25">
      <c r="A77" s="4">
        <v>45540</v>
      </c>
      <c r="B77">
        <v>3108.2041250000002</v>
      </c>
    </row>
    <row r="78" spans="1:2" x14ac:dyDescent="0.25">
      <c r="A78" s="4">
        <v>45570</v>
      </c>
      <c r="B78">
        <v>3102.6461559999998</v>
      </c>
    </row>
    <row r="79" spans="1:2" x14ac:dyDescent="0.25">
      <c r="A79" s="4">
        <v>45601</v>
      </c>
      <c r="B79">
        <v>3097.0881869999998</v>
      </c>
    </row>
    <row r="80" spans="1:2" x14ac:dyDescent="0.25">
      <c r="A80" s="4">
        <v>45631</v>
      </c>
      <c r="B80">
        <v>3091.5302179999999</v>
      </c>
    </row>
    <row r="81" spans="1:2" x14ac:dyDescent="0.25">
      <c r="A81" s="4" t="s">
        <v>77</v>
      </c>
      <c r="B81">
        <v>3085.9722489999999</v>
      </c>
    </row>
    <row r="82" spans="1:2" x14ac:dyDescent="0.25">
      <c r="A82" s="4" t="s">
        <v>78</v>
      </c>
      <c r="B82">
        <v>3080.41428</v>
      </c>
    </row>
    <row r="83" spans="1:2" x14ac:dyDescent="0.25">
      <c r="A83" s="4" t="s">
        <v>79</v>
      </c>
      <c r="B83">
        <v>3074.8563100000001</v>
      </c>
    </row>
    <row r="84" spans="1:2" x14ac:dyDescent="0.25">
      <c r="A84" s="4" t="s">
        <v>80</v>
      </c>
      <c r="B84">
        <v>3069.2983410000002</v>
      </c>
    </row>
    <row r="85" spans="1:2" x14ac:dyDescent="0.25">
      <c r="A85" s="4" t="s">
        <v>81</v>
      </c>
      <c r="B85">
        <v>3063.7403720000002</v>
      </c>
    </row>
    <row r="86" spans="1:2" x14ac:dyDescent="0.25">
      <c r="A86" s="4" t="s">
        <v>82</v>
      </c>
      <c r="B86">
        <v>3058.1824029999998</v>
      </c>
    </row>
    <row r="87" spans="1:2" x14ac:dyDescent="0.25">
      <c r="A87" s="4" t="s">
        <v>83</v>
      </c>
      <c r="B87">
        <v>3052.6244339999998</v>
      </c>
    </row>
    <row r="88" spans="1:2" x14ac:dyDescent="0.25">
      <c r="A88" s="4" t="s">
        <v>84</v>
      </c>
      <c r="B88">
        <v>3047.0664649999999</v>
      </c>
    </row>
    <row r="89" spans="1:2" x14ac:dyDescent="0.25">
      <c r="A89" s="4" t="s">
        <v>85</v>
      </c>
      <c r="B89">
        <v>3041.5084959999999</v>
      </c>
    </row>
    <row r="90" spans="1:2" x14ac:dyDescent="0.25">
      <c r="A90" s="4" t="s">
        <v>86</v>
      </c>
      <c r="B90">
        <v>3035.9505260000001</v>
      </c>
    </row>
    <row r="91" spans="1:2" x14ac:dyDescent="0.25">
      <c r="A91" s="4" t="s">
        <v>87</v>
      </c>
      <c r="B91">
        <v>3030.3925570000001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Ashok_Leyland</vt:lpstr>
      <vt:lpstr>Bajaj_Auto</vt:lpstr>
      <vt:lpstr>Eicher_Motors</vt:lpstr>
      <vt:lpstr>Hero_Motocorp</vt:lpstr>
      <vt:lpstr>Maruti_Suzuki</vt:lpstr>
      <vt:lpstr>Tata_Motors</vt:lpstr>
      <vt:lpstr>TVS_Motors</vt:lpstr>
      <vt:lpstr>Paytm Nifty_Auto</vt:lpstr>
      <vt:lpstr>Ashok Leyland</vt:lpstr>
      <vt:lpstr>NiftyAuto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2024-02-26T12:52:59Z</dcterms:created>
  <dcterms:modified xsi:type="dcterms:W3CDTF">2024-02-26T22:57:55Z</dcterms:modified>
</cp:coreProperties>
</file>